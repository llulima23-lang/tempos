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p.luciana\Meu Drive\MF\MF\Indicadores de Cobrança\"/>
    </mc:Choice>
  </mc:AlternateContent>
  <xr:revisionPtr revIDLastSave="0" documentId="13_ncr:1_{B2282007-E71F-47CD-9665-09D177F5A987}" xr6:coauthVersionLast="47" xr6:coauthVersionMax="47" xr10:uidLastSave="{00000000-0000-0000-0000-000000000000}"/>
  <bookViews>
    <workbookView xWindow="-108" yWindow="-108" windowWidth="23256" windowHeight="12456" activeTab="1" xr2:uid="{234F0113-8670-4996-B2FF-11861E803DBE}"/>
  </bookViews>
  <sheets>
    <sheet name="TAB HORAS" sheetId="2" r:id="rId1"/>
    <sheet name="BASE" sheetId="1" r:id="rId2"/>
    <sheet name="RESUMO" sheetId="3" r:id="rId3"/>
    <sheet name="DATA COMPENSA" sheetId="4" r:id="rId4"/>
  </sheets>
  <definedNames>
    <definedName name="_xlnm._FilterDatabase" localSheetId="1" hidden="1">BASE!$A$1:$N$1291</definedName>
    <definedName name="_xlnm._FilterDatabase" localSheetId="2" hidden="1">RESUMO!$A$1:$I$16</definedName>
  </definedNames>
  <calcPr calcId="191029" iterateCount="1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25" i="1" l="1"/>
  <c r="K1324" i="1"/>
  <c r="K1323" i="1"/>
  <c r="K1319" i="1"/>
  <c r="K1317" i="1"/>
  <c r="K1316" i="1"/>
  <c r="K1315" i="1"/>
  <c r="K1313" i="1"/>
  <c r="K1308" i="1"/>
  <c r="K1307" i="1"/>
  <c r="K1306" i="1"/>
  <c r="K1299" i="1"/>
  <c r="K1298" i="1"/>
  <c r="K1297" i="1"/>
  <c r="K1296" i="1"/>
  <c r="K1295" i="1"/>
  <c r="K1294" i="1"/>
  <c r="K1292" i="1"/>
  <c r="I1292" i="1"/>
  <c r="I1293" i="1"/>
  <c r="L1293" i="1" s="1"/>
  <c r="I1294" i="1"/>
  <c r="I1295" i="1"/>
  <c r="M1295" i="1"/>
  <c r="N1295" i="1"/>
  <c r="I1296" i="1"/>
  <c r="M1296" i="1"/>
  <c r="N1296" i="1"/>
  <c r="I1297" i="1"/>
  <c r="M1297" i="1"/>
  <c r="N1297" i="1"/>
  <c r="I1298" i="1"/>
  <c r="M1298" i="1"/>
  <c r="N1298" i="1"/>
  <c r="I1299" i="1"/>
  <c r="M1299" i="1"/>
  <c r="N1299" i="1"/>
  <c r="I1300" i="1"/>
  <c r="L1300" i="1"/>
  <c r="M1300" i="1"/>
  <c r="N1300" i="1"/>
  <c r="I1301" i="1"/>
  <c r="L1301" i="1"/>
  <c r="M1301" i="1"/>
  <c r="N1301" i="1"/>
  <c r="I1302" i="1"/>
  <c r="L1302" i="1"/>
  <c r="M1302" i="1"/>
  <c r="N1302" i="1"/>
  <c r="I1303" i="1"/>
  <c r="L1303" i="1"/>
  <c r="M1303" i="1"/>
  <c r="N1303" i="1"/>
  <c r="I1304" i="1"/>
  <c r="L1304" i="1"/>
  <c r="M1304" i="1"/>
  <c r="N1304" i="1"/>
  <c r="I1305" i="1"/>
  <c r="L1305" i="1"/>
  <c r="M1305" i="1"/>
  <c r="N1305" i="1"/>
  <c r="I1306" i="1"/>
  <c r="M1306" i="1"/>
  <c r="N1306" i="1"/>
  <c r="I1307" i="1"/>
  <c r="M1307" i="1"/>
  <c r="N1307" i="1"/>
  <c r="I1308" i="1"/>
  <c r="M1308" i="1"/>
  <c r="N1308" i="1"/>
  <c r="I1309" i="1"/>
  <c r="L1309" i="1"/>
  <c r="M1309" i="1"/>
  <c r="N1309" i="1"/>
  <c r="I1310" i="1"/>
  <c r="L1310" i="1"/>
  <c r="M1310" i="1"/>
  <c r="N1310" i="1"/>
  <c r="I1311" i="1"/>
  <c r="L1311" i="1"/>
  <c r="M1311" i="1"/>
  <c r="N1311" i="1"/>
  <c r="I1312" i="1"/>
  <c r="L1312" i="1"/>
  <c r="M1312" i="1"/>
  <c r="N1312" i="1"/>
  <c r="I1313" i="1"/>
  <c r="M1313" i="1"/>
  <c r="N1313" i="1"/>
  <c r="I1314" i="1"/>
  <c r="L1314" i="1"/>
  <c r="M1314" i="1"/>
  <c r="N1314" i="1"/>
  <c r="I1315" i="1"/>
  <c r="M1315" i="1"/>
  <c r="N1315" i="1"/>
  <c r="I1316" i="1"/>
  <c r="M1316" i="1"/>
  <c r="N1316" i="1"/>
  <c r="I1317" i="1"/>
  <c r="M1317" i="1"/>
  <c r="N1317" i="1"/>
  <c r="I1318" i="1"/>
  <c r="L1318" i="1"/>
  <c r="M1318" i="1"/>
  <c r="N1318" i="1"/>
  <c r="I1319" i="1"/>
  <c r="M1319" i="1"/>
  <c r="N1319" i="1"/>
  <c r="I1320" i="1"/>
  <c r="L1320" i="1"/>
  <c r="M1320" i="1"/>
  <c r="N1320" i="1"/>
  <c r="I1321" i="1"/>
  <c r="L1321" i="1"/>
  <c r="M1321" i="1"/>
  <c r="N1321" i="1"/>
  <c r="I1322" i="1"/>
  <c r="L1322" i="1"/>
  <c r="M1322" i="1"/>
  <c r="N1322" i="1"/>
  <c r="I1323" i="1"/>
  <c r="M1323" i="1"/>
  <c r="N1323" i="1"/>
  <c r="I1324" i="1"/>
  <c r="M1324" i="1"/>
  <c r="N1324" i="1"/>
  <c r="I1325" i="1"/>
  <c r="M1325" i="1"/>
  <c r="N1325" i="1"/>
  <c r="I1326" i="1"/>
  <c r="L1326" i="1"/>
  <c r="M1326" i="1"/>
  <c r="N1326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I1275" i="1"/>
  <c r="M1275" i="1" s="1"/>
  <c r="I1276" i="1"/>
  <c r="L1276" i="1" s="1"/>
  <c r="I1277" i="1"/>
  <c r="L1277" i="1" s="1"/>
  <c r="I1278" i="1"/>
  <c r="M1278" i="1" s="1"/>
  <c r="I1279" i="1"/>
  <c r="K1279" i="1" s="1"/>
  <c r="I1280" i="1"/>
  <c r="M1280" i="1" s="1"/>
  <c r="I1281" i="1"/>
  <c r="K1281" i="1" s="1"/>
  <c r="I1282" i="1"/>
  <c r="N1282" i="1" s="1"/>
  <c r="I1283" i="1"/>
  <c r="M1283" i="1" s="1"/>
  <c r="I1284" i="1"/>
  <c r="L1284" i="1" s="1"/>
  <c r="I1285" i="1"/>
  <c r="L1285" i="1" s="1"/>
  <c r="I1286" i="1"/>
  <c r="M1286" i="1" s="1"/>
  <c r="I1287" i="1"/>
  <c r="L1287" i="1" s="1"/>
  <c r="I1288" i="1"/>
  <c r="L1288" i="1" s="1"/>
  <c r="I1289" i="1"/>
  <c r="K1289" i="1" s="1"/>
  <c r="I1290" i="1"/>
  <c r="M1290" i="1" s="1"/>
  <c r="I1291" i="1"/>
  <c r="M1291" i="1" s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N1294" i="1" l="1"/>
  <c r="M1294" i="1"/>
  <c r="N1293" i="1"/>
  <c r="M1293" i="1"/>
  <c r="N1292" i="1"/>
  <c r="M1292" i="1"/>
  <c r="L1291" i="1"/>
  <c r="M1282" i="1"/>
  <c r="L1290" i="1"/>
  <c r="N1278" i="1"/>
  <c r="L1278" i="1"/>
  <c r="L1286" i="1"/>
  <c r="M1276" i="1"/>
  <c r="M1289" i="1"/>
  <c r="L1283" i="1"/>
  <c r="N1277" i="1"/>
  <c r="M1277" i="1"/>
  <c r="N1286" i="1"/>
  <c r="N1291" i="1"/>
  <c r="N1276" i="1"/>
  <c r="N1279" i="1"/>
  <c r="M1279" i="1"/>
  <c r="N1290" i="1"/>
  <c r="N1275" i="1"/>
  <c r="L1275" i="1"/>
  <c r="N1283" i="1"/>
  <c r="N1289" i="1"/>
  <c r="K1282" i="1"/>
  <c r="N1288" i="1"/>
  <c r="N1285" i="1"/>
  <c r="M1288" i="1"/>
  <c r="M1285" i="1"/>
  <c r="N1281" i="1"/>
  <c r="N1287" i="1"/>
  <c r="N1284" i="1"/>
  <c r="M1281" i="1"/>
  <c r="M1287" i="1"/>
  <c r="M1284" i="1"/>
  <c r="K1280" i="1"/>
  <c r="N1280" i="1"/>
  <c r="F7" i="2"/>
  <c r="F9" i="2"/>
  <c r="F23" i="2"/>
  <c r="F24" i="2"/>
  <c r="F25" i="2"/>
  <c r="F26" i="2"/>
  <c r="F27" i="2"/>
  <c r="F2" i="3"/>
  <c r="I1240" i="1" l="1"/>
  <c r="L1240" i="1" s="1"/>
  <c r="I1241" i="1"/>
  <c r="L1241" i="1" s="1"/>
  <c r="I1242" i="1"/>
  <c r="K1242" i="1" s="1"/>
  <c r="I1243" i="1"/>
  <c r="L1243" i="1" s="1"/>
  <c r="I1244" i="1"/>
  <c r="K1244" i="1" s="1"/>
  <c r="I1245" i="1"/>
  <c r="M1245" i="1" s="1"/>
  <c r="I1246" i="1"/>
  <c r="L1246" i="1" s="1"/>
  <c r="I1247" i="1"/>
  <c r="M1247" i="1" s="1"/>
  <c r="I1248" i="1"/>
  <c r="L1248" i="1" s="1"/>
  <c r="I1249" i="1"/>
  <c r="L1249" i="1" s="1"/>
  <c r="I1250" i="1"/>
  <c r="L1250" i="1" s="1"/>
  <c r="I1251" i="1"/>
  <c r="M1251" i="1" s="1"/>
  <c r="I1252" i="1"/>
  <c r="L1252" i="1" s="1"/>
  <c r="I1253" i="1"/>
  <c r="K1253" i="1" s="1"/>
  <c r="I1254" i="1"/>
  <c r="M1254" i="1" s="1"/>
  <c r="I1255" i="1"/>
  <c r="M1255" i="1" s="1"/>
  <c r="I1256" i="1"/>
  <c r="N1256" i="1" s="1"/>
  <c r="I1257" i="1"/>
  <c r="M1257" i="1" s="1"/>
  <c r="I1258" i="1"/>
  <c r="L1258" i="1" s="1"/>
  <c r="I1259" i="1"/>
  <c r="L1259" i="1" s="1"/>
  <c r="I1260" i="1"/>
  <c r="L1260" i="1" s="1"/>
  <c r="I1261" i="1"/>
  <c r="K1261" i="1" s="1"/>
  <c r="I1262" i="1"/>
  <c r="M1262" i="1" s="1"/>
  <c r="I1263" i="1"/>
  <c r="K1263" i="1" s="1"/>
  <c r="I1264" i="1"/>
  <c r="K1264" i="1" s="1"/>
  <c r="I1265" i="1"/>
  <c r="N1265" i="1" s="1"/>
  <c r="I1266" i="1"/>
  <c r="K1266" i="1" s="1"/>
  <c r="I1267" i="1"/>
  <c r="K1267" i="1" s="1"/>
  <c r="I1268" i="1"/>
  <c r="K1268" i="1" s="1"/>
  <c r="I1269" i="1"/>
  <c r="M1269" i="1" s="1"/>
  <c r="I1270" i="1"/>
  <c r="M1270" i="1" s="1"/>
  <c r="I1271" i="1"/>
  <c r="K1271" i="1" s="1"/>
  <c r="I1272" i="1"/>
  <c r="N1272" i="1" s="1"/>
  <c r="I1273" i="1"/>
  <c r="K1273" i="1" s="1"/>
  <c r="I1274" i="1"/>
  <c r="M1274" i="1" s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F20" i="3"/>
  <c r="I1224" i="1"/>
  <c r="L1224" i="1" s="1"/>
  <c r="I1225" i="1"/>
  <c r="M1225" i="1" s="1"/>
  <c r="I1226" i="1"/>
  <c r="M1226" i="1" s="1"/>
  <c r="I1227" i="1"/>
  <c r="M1227" i="1" s="1"/>
  <c r="I1228" i="1"/>
  <c r="N1228" i="1" s="1"/>
  <c r="I1229" i="1"/>
  <c r="N1229" i="1" s="1"/>
  <c r="I1230" i="1"/>
  <c r="M1230" i="1" s="1"/>
  <c r="I1231" i="1"/>
  <c r="L1231" i="1" s="1"/>
  <c r="I1232" i="1"/>
  <c r="K1232" i="1" s="1"/>
  <c r="I1233" i="1"/>
  <c r="M1233" i="1" s="1"/>
  <c r="I1234" i="1"/>
  <c r="L1234" i="1" s="1"/>
  <c r="I1235" i="1"/>
  <c r="N1235" i="1" s="1"/>
  <c r="I1236" i="1"/>
  <c r="M1236" i="1" s="1"/>
  <c r="I1237" i="1"/>
  <c r="L1237" i="1" s="1"/>
  <c r="I1238" i="1"/>
  <c r="L1238" i="1" s="1"/>
  <c r="I1239" i="1"/>
  <c r="M1239" i="1" s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I1197" i="1"/>
  <c r="L1197" i="1" s="1"/>
  <c r="I1198" i="1"/>
  <c r="L1198" i="1" s="1"/>
  <c r="I1199" i="1"/>
  <c r="L1199" i="1" s="1"/>
  <c r="I1200" i="1"/>
  <c r="K1200" i="1" s="1"/>
  <c r="I1201" i="1"/>
  <c r="N1201" i="1" s="1"/>
  <c r="I1202" i="1"/>
  <c r="K1202" i="1" s="1"/>
  <c r="I1203" i="1"/>
  <c r="L1203" i="1" s="1"/>
  <c r="I1204" i="1"/>
  <c r="L1204" i="1" s="1"/>
  <c r="I1205" i="1"/>
  <c r="K1205" i="1" s="1"/>
  <c r="I1206" i="1"/>
  <c r="K1206" i="1" s="1"/>
  <c r="I1207" i="1"/>
  <c r="L1207" i="1" s="1"/>
  <c r="I1208" i="1"/>
  <c r="M1208" i="1" s="1"/>
  <c r="I1209" i="1"/>
  <c r="N1209" i="1" s="1"/>
  <c r="I1210" i="1"/>
  <c r="L1210" i="1" s="1"/>
  <c r="I1211" i="1"/>
  <c r="M1211" i="1" s="1"/>
  <c r="I1212" i="1"/>
  <c r="N1212" i="1" s="1"/>
  <c r="I1213" i="1"/>
  <c r="L1213" i="1" s="1"/>
  <c r="I1214" i="1"/>
  <c r="N1214" i="1" s="1"/>
  <c r="I1215" i="1"/>
  <c r="K1215" i="1" s="1"/>
  <c r="I1216" i="1"/>
  <c r="L1216" i="1" s="1"/>
  <c r="I1217" i="1"/>
  <c r="L1217" i="1" s="1"/>
  <c r="I1218" i="1"/>
  <c r="K1218" i="1" s="1"/>
  <c r="I1219" i="1"/>
  <c r="M1219" i="1" s="1"/>
  <c r="I1220" i="1"/>
  <c r="K1220" i="1" s="1"/>
  <c r="I1221" i="1"/>
  <c r="N1221" i="1" s="1"/>
  <c r="I1222" i="1"/>
  <c r="M1222" i="1" s="1"/>
  <c r="I1223" i="1"/>
  <c r="M1223" i="1" s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I1171" i="1"/>
  <c r="K1171" i="1" s="1"/>
  <c r="I1172" i="1"/>
  <c r="K1172" i="1" s="1"/>
  <c r="I1173" i="1"/>
  <c r="M1173" i="1" s="1"/>
  <c r="I1174" i="1"/>
  <c r="K1174" i="1" s="1"/>
  <c r="I1175" i="1"/>
  <c r="K1175" i="1" s="1"/>
  <c r="I1176" i="1"/>
  <c r="M1176" i="1" s="1"/>
  <c r="I1177" i="1"/>
  <c r="N1177" i="1" s="1"/>
  <c r="I1178" i="1"/>
  <c r="K1178" i="1" s="1"/>
  <c r="I1179" i="1"/>
  <c r="N1179" i="1" s="1"/>
  <c r="I1180" i="1"/>
  <c r="L1180" i="1" s="1"/>
  <c r="I1181" i="1"/>
  <c r="N1181" i="1" s="1"/>
  <c r="I1182" i="1"/>
  <c r="K1182" i="1" s="1"/>
  <c r="I1183" i="1"/>
  <c r="M1183" i="1" s="1"/>
  <c r="I1184" i="1"/>
  <c r="N1184" i="1" s="1"/>
  <c r="I1185" i="1"/>
  <c r="L1185" i="1" s="1"/>
  <c r="I1186" i="1"/>
  <c r="K1186" i="1" s="1"/>
  <c r="I1187" i="1"/>
  <c r="N1187" i="1" s="1"/>
  <c r="I1188" i="1"/>
  <c r="M1188" i="1" s="1"/>
  <c r="I1189" i="1"/>
  <c r="L1189" i="1" s="1"/>
  <c r="I1190" i="1"/>
  <c r="L1190" i="1" s="1"/>
  <c r="I1191" i="1"/>
  <c r="N1191" i="1" s="1"/>
  <c r="I1192" i="1"/>
  <c r="K1192" i="1" s="1"/>
  <c r="I1193" i="1"/>
  <c r="L1193" i="1" s="1"/>
  <c r="I1194" i="1"/>
  <c r="M1194" i="1" s="1"/>
  <c r="I1195" i="1"/>
  <c r="N1195" i="1" s="1"/>
  <c r="I1196" i="1"/>
  <c r="L1196" i="1" s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F11" i="3"/>
  <c r="E2" i="3"/>
  <c r="F7" i="3"/>
  <c r="E3" i="3"/>
  <c r="F3" i="3" s="1"/>
  <c r="E4" i="3"/>
  <c r="F4" i="3" s="1"/>
  <c r="E5" i="3"/>
  <c r="F5" i="3" s="1"/>
  <c r="E6" i="3"/>
  <c r="F6" i="3" s="1"/>
  <c r="E7" i="3"/>
  <c r="E8" i="3"/>
  <c r="F8" i="3" s="1"/>
  <c r="E9" i="3"/>
  <c r="F9" i="3" s="1"/>
  <c r="E10" i="3"/>
  <c r="F10" i="3" s="1"/>
  <c r="E11" i="3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E20" i="3"/>
  <c r="E21" i="3"/>
  <c r="F21" i="3" s="1"/>
  <c r="E22" i="3"/>
  <c r="F22" i="3" s="1"/>
  <c r="E23" i="3"/>
  <c r="F23" i="3" s="1"/>
  <c r="F19" i="3"/>
  <c r="K1269" i="1" l="1"/>
  <c r="K1251" i="1"/>
  <c r="K1272" i="1"/>
  <c r="N1248" i="1"/>
  <c r="M1265" i="1"/>
  <c r="N1257" i="1"/>
  <c r="M1248" i="1"/>
  <c r="M1266" i="1"/>
  <c r="M1256" i="1"/>
  <c r="N1271" i="1"/>
  <c r="M1268" i="1"/>
  <c r="M1271" i="1"/>
  <c r="N1268" i="1"/>
  <c r="N1273" i="1"/>
  <c r="N1259" i="1"/>
  <c r="M1259" i="1"/>
  <c r="N1250" i="1"/>
  <c r="M1272" i="1"/>
  <c r="N1266" i="1"/>
  <c r="K1254" i="1"/>
  <c r="N1246" i="1"/>
  <c r="N1252" i="1"/>
  <c r="N1244" i="1"/>
  <c r="N1264" i="1"/>
  <c r="N1243" i="1"/>
  <c r="M1243" i="1"/>
  <c r="N1255" i="1"/>
  <c r="N1261" i="1"/>
  <c r="N1254" i="1"/>
  <c r="M1264" i="1"/>
  <c r="N1241" i="1"/>
  <c r="M1241" i="1"/>
  <c r="M1273" i="1"/>
  <c r="M1263" i="1"/>
  <c r="K1257" i="1"/>
  <c r="M1252" i="1"/>
  <c r="K1245" i="1"/>
  <c r="N1263" i="1"/>
  <c r="L1256" i="1"/>
  <c r="L1274" i="1"/>
  <c r="L1255" i="1"/>
  <c r="M1261" i="1"/>
  <c r="M1250" i="1"/>
  <c r="M1246" i="1"/>
  <c r="N1253" i="1"/>
  <c r="N1242" i="1"/>
  <c r="L1270" i="1"/>
  <c r="N1274" i="1"/>
  <c r="N1267" i="1"/>
  <c r="N1260" i="1"/>
  <c r="M1253" i="1"/>
  <c r="N1249" i="1"/>
  <c r="N1245" i="1"/>
  <c r="M1242" i="1"/>
  <c r="M1267" i="1"/>
  <c r="M1260" i="1"/>
  <c r="M1249" i="1"/>
  <c r="N1270" i="1"/>
  <c r="L1265" i="1"/>
  <c r="L1262" i="1"/>
  <c r="L1247" i="1"/>
  <c r="N1269" i="1"/>
  <c r="M1244" i="1"/>
  <c r="N1262" i="1"/>
  <c r="N1258" i="1"/>
  <c r="N1251" i="1"/>
  <c r="N1247" i="1"/>
  <c r="N1240" i="1"/>
  <c r="M1258" i="1"/>
  <c r="M1240" i="1"/>
  <c r="M1231" i="1"/>
  <c r="K1236" i="1"/>
  <c r="N1231" i="1"/>
  <c r="L1222" i="1"/>
  <c r="N1236" i="1"/>
  <c r="L1229" i="1"/>
  <c r="M1234" i="1"/>
  <c r="L1226" i="1"/>
  <c r="N1232" i="1"/>
  <c r="M1228" i="1"/>
  <c r="M1232" i="1"/>
  <c r="L1228" i="1"/>
  <c r="M1235" i="1"/>
  <c r="L1235" i="1"/>
  <c r="L1225" i="1"/>
  <c r="N1230" i="1"/>
  <c r="N1234" i="1"/>
  <c r="L1230" i="1"/>
  <c r="N1239" i="1"/>
  <c r="N1238" i="1"/>
  <c r="M1238" i="1"/>
  <c r="N1224" i="1"/>
  <c r="M1229" i="1"/>
  <c r="N1225" i="1"/>
  <c r="N1233" i="1"/>
  <c r="N1227" i="1"/>
  <c r="K1227" i="1"/>
  <c r="N1237" i="1"/>
  <c r="M1237" i="1"/>
  <c r="N1226" i="1"/>
  <c r="K1233" i="1"/>
  <c r="K1239" i="1"/>
  <c r="M1224" i="1"/>
  <c r="M1185" i="1"/>
  <c r="M1220" i="1"/>
  <c r="L1211" i="1"/>
  <c r="N1210" i="1"/>
  <c r="N1202" i="1"/>
  <c r="M1202" i="1"/>
  <c r="N1185" i="1"/>
  <c r="M1175" i="1"/>
  <c r="M1216" i="1"/>
  <c r="M1201" i="1"/>
  <c r="N1223" i="1"/>
  <c r="N1207" i="1"/>
  <c r="N1174" i="1"/>
  <c r="L1223" i="1"/>
  <c r="M1207" i="1"/>
  <c r="L1212" i="1"/>
  <c r="M1197" i="1"/>
  <c r="N1222" i="1"/>
  <c r="N1215" i="1"/>
  <c r="M1215" i="1"/>
  <c r="N1189" i="1"/>
  <c r="M1221" i="1"/>
  <c r="N1220" i="1"/>
  <c r="M1214" i="1"/>
  <c r="M1210" i="1"/>
  <c r="N1218" i="1"/>
  <c r="N1205" i="1"/>
  <c r="N1200" i="1"/>
  <c r="M1172" i="1"/>
  <c r="M1218" i="1"/>
  <c r="N1213" i="1"/>
  <c r="M1205" i="1"/>
  <c r="M1200" i="1"/>
  <c r="M1213" i="1"/>
  <c r="M1209" i="1"/>
  <c r="N1217" i="1"/>
  <c r="L1209" i="1"/>
  <c r="N1204" i="1"/>
  <c r="M1177" i="1"/>
  <c r="N1216" i="1"/>
  <c r="M1212" i="1"/>
  <c r="L1208" i="1"/>
  <c r="M1203" i="1"/>
  <c r="N1197" i="1"/>
  <c r="L1221" i="1"/>
  <c r="M1217" i="1"/>
  <c r="M1204" i="1"/>
  <c r="K1219" i="1"/>
  <c r="M1179" i="1"/>
  <c r="N1172" i="1"/>
  <c r="N1203" i="1"/>
  <c r="N1199" i="1"/>
  <c r="N1219" i="1"/>
  <c r="N1206" i="1"/>
  <c r="M1199" i="1"/>
  <c r="K1201" i="1"/>
  <c r="M1206" i="1"/>
  <c r="K1194" i="1"/>
  <c r="N1198" i="1"/>
  <c r="N1175" i="1"/>
  <c r="N1211" i="1"/>
  <c r="N1208" i="1"/>
  <c r="M1198" i="1"/>
  <c r="K1214" i="1"/>
  <c r="M1191" i="1"/>
  <c r="N1190" i="1"/>
  <c r="M1181" i="1"/>
  <c r="N1171" i="1"/>
  <c r="M1195" i="1"/>
  <c r="M1190" i="1"/>
  <c r="M1171" i="1"/>
  <c r="M1189" i="1"/>
  <c r="M1184" i="1"/>
  <c r="K1179" i="1"/>
  <c r="L1177" i="1"/>
  <c r="N1193" i="1"/>
  <c r="L1181" i="1"/>
  <c r="M1193" i="1"/>
  <c r="N1178" i="1"/>
  <c r="L1184" i="1"/>
  <c r="M1187" i="1"/>
  <c r="N1182" i="1"/>
  <c r="M1178" i="1"/>
  <c r="N1192" i="1"/>
  <c r="M1182" i="1"/>
  <c r="L1187" i="1"/>
  <c r="N1186" i="1"/>
  <c r="L1188" i="1"/>
  <c r="N1196" i="1"/>
  <c r="M1186" i="1"/>
  <c r="L1195" i="1"/>
  <c r="M1196" i="1"/>
  <c r="M1192" i="1"/>
  <c r="N1188" i="1"/>
  <c r="M1174" i="1"/>
  <c r="N1180" i="1"/>
  <c r="L1173" i="1"/>
  <c r="L1191" i="1"/>
  <c r="M1180" i="1"/>
  <c r="N1173" i="1"/>
  <c r="L1176" i="1"/>
  <c r="N1194" i="1"/>
  <c r="N1183" i="1"/>
  <c r="N1176" i="1"/>
  <c r="L1183" i="1"/>
  <c r="N18" i="3"/>
  <c r="I1128" i="1"/>
  <c r="N1128" i="1" s="1"/>
  <c r="I1143" i="1"/>
  <c r="K1143" i="1" s="1"/>
  <c r="I1156" i="1"/>
  <c r="L1156" i="1" s="1"/>
  <c r="I1129" i="1"/>
  <c r="M1129" i="1" s="1"/>
  <c r="I1157" i="1"/>
  <c r="L1157" i="1" s="1"/>
  <c r="I1130" i="1"/>
  <c r="M1130" i="1" s="1"/>
  <c r="I1144" i="1"/>
  <c r="N1144" i="1" s="1"/>
  <c r="I1158" i="1"/>
  <c r="N1158" i="1" s="1"/>
  <c r="I1131" i="1"/>
  <c r="N1131" i="1" s="1"/>
  <c r="I1145" i="1"/>
  <c r="N1145" i="1" s="1"/>
  <c r="I1159" i="1"/>
  <c r="M1159" i="1" s="1"/>
  <c r="I1132" i="1"/>
  <c r="M1132" i="1" s="1"/>
  <c r="I1146" i="1"/>
  <c r="N1146" i="1" s="1"/>
  <c r="I1160" i="1"/>
  <c r="K1160" i="1" s="1"/>
  <c r="I1133" i="1"/>
  <c r="L1133" i="1" s="1"/>
  <c r="I1147" i="1"/>
  <c r="N1147" i="1" s="1"/>
  <c r="I1161" i="1"/>
  <c r="K1161" i="1" s="1"/>
  <c r="I1134" i="1"/>
  <c r="N1134" i="1" s="1"/>
  <c r="I1148" i="1"/>
  <c r="M1148" i="1" s="1"/>
  <c r="I1162" i="1"/>
  <c r="M1162" i="1" s="1"/>
  <c r="I1135" i="1"/>
  <c r="K1135" i="1" s="1"/>
  <c r="I1163" i="1"/>
  <c r="L1163" i="1" s="1"/>
  <c r="I1136" i="1"/>
  <c r="M1136" i="1" s="1"/>
  <c r="I1149" i="1"/>
  <c r="K1149" i="1" s="1"/>
  <c r="I1164" i="1"/>
  <c r="K1164" i="1" s="1"/>
  <c r="I1137" i="1"/>
  <c r="M1137" i="1" s="1"/>
  <c r="I1150" i="1"/>
  <c r="N1150" i="1" s="1"/>
  <c r="I1165" i="1"/>
  <c r="K1165" i="1" s="1"/>
  <c r="I1138" i="1"/>
  <c r="N1138" i="1" s="1"/>
  <c r="I1151" i="1"/>
  <c r="L1151" i="1" s="1"/>
  <c r="I1166" i="1"/>
  <c r="M1166" i="1" s="1"/>
  <c r="I1139" i="1"/>
  <c r="K1139" i="1" s="1"/>
  <c r="I1152" i="1"/>
  <c r="K1152" i="1" s="1"/>
  <c r="I1167" i="1"/>
  <c r="N1167" i="1" s="1"/>
  <c r="I1140" i="1"/>
  <c r="L1140" i="1" s="1"/>
  <c r="I1153" i="1"/>
  <c r="K1153" i="1" s="1"/>
  <c r="I1168" i="1"/>
  <c r="M1168" i="1" s="1"/>
  <c r="I1141" i="1"/>
  <c r="N1141" i="1" s="1"/>
  <c r="I1154" i="1"/>
  <c r="K1154" i="1" s="1"/>
  <c r="I1169" i="1"/>
  <c r="K1169" i="1" s="1"/>
  <c r="I1142" i="1"/>
  <c r="L1142" i="1" s="1"/>
  <c r="I1155" i="1"/>
  <c r="L1155" i="1" s="1"/>
  <c r="I1170" i="1"/>
  <c r="K1170" i="1" s="1"/>
  <c r="B1128" i="1"/>
  <c r="C1128" i="1"/>
  <c r="B1143" i="1"/>
  <c r="C1143" i="1"/>
  <c r="B1156" i="1"/>
  <c r="C1156" i="1"/>
  <c r="B1129" i="1"/>
  <c r="C1129" i="1"/>
  <c r="B1157" i="1"/>
  <c r="C1157" i="1"/>
  <c r="B1130" i="1"/>
  <c r="C1130" i="1"/>
  <c r="B1144" i="1"/>
  <c r="C1144" i="1"/>
  <c r="B1158" i="1"/>
  <c r="C1158" i="1"/>
  <c r="B1131" i="1"/>
  <c r="C1131" i="1"/>
  <c r="B1145" i="1"/>
  <c r="C1145" i="1"/>
  <c r="B1159" i="1"/>
  <c r="C1159" i="1"/>
  <c r="B1132" i="1"/>
  <c r="C1132" i="1"/>
  <c r="B1146" i="1"/>
  <c r="C1146" i="1"/>
  <c r="B1160" i="1"/>
  <c r="C1160" i="1"/>
  <c r="B1133" i="1"/>
  <c r="C1133" i="1"/>
  <c r="B1147" i="1"/>
  <c r="C1147" i="1"/>
  <c r="B1161" i="1"/>
  <c r="C1161" i="1"/>
  <c r="B1134" i="1"/>
  <c r="C1134" i="1"/>
  <c r="B1148" i="1"/>
  <c r="C1148" i="1"/>
  <c r="B1162" i="1"/>
  <c r="C1162" i="1"/>
  <c r="B1135" i="1"/>
  <c r="C1135" i="1"/>
  <c r="B1163" i="1"/>
  <c r="C1163" i="1"/>
  <c r="B1136" i="1"/>
  <c r="C1136" i="1"/>
  <c r="B1149" i="1"/>
  <c r="C1149" i="1"/>
  <c r="B1164" i="1"/>
  <c r="C1164" i="1"/>
  <c r="B1137" i="1"/>
  <c r="C1137" i="1"/>
  <c r="B1150" i="1"/>
  <c r="C1150" i="1"/>
  <c r="B1165" i="1"/>
  <c r="C1165" i="1"/>
  <c r="B1138" i="1"/>
  <c r="C1138" i="1"/>
  <c r="B1151" i="1"/>
  <c r="C1151" i="1"/>
  <c r="B1166" i="1"/>
  <c r="C1166" i="1"/>
  <c r="B1139" i="1"/>
  <c r="C1139" i="1"/>
  <c r="B1152" i="1"/>
  <c r="C1152" i="1"/>
  <c r="B1167" i="1"/>
  <c r="C1167" i="1"/>
  <c r="B1140" i="1"/>
  <c r="C1140" i="1"/>
  <c r="B1153" i="1"/>
  <c r="C1153" i="1"/>
  <c r="B1168" i="1"/>
  <c r="C1168" i="1"/>
  <c r="B1141" i="1"/>
  <c r="C1141" i="1"/>
  <c r="B1154" i="1"/>
  <c r="C1154" i="1"/>
  <c r="B1169" i="1"/>
  <c r="C1169" i="1"/>
  <c r="B1142" i="1"/>
  <c r="C1142" i="1"/>
  <c r="B1155" i="1"/>
  <c r="C1155" i="1"/>
  <c r="B1170" i="1"/>
  <c r="C1170" i="1"/>
  <c r="I1113" i="1"/>
  <c r="K1113" i="1" s="1"/>
  <c r="I1114" i="1"/>
  <c r="L1114" i="1" s="1"/>
  <c r="I1115" i="1"/>
  <c r="N1115" i="1" s="1"/>
  <c r="I1116" i="1"/>
  <c r="M1116" i="1" s="1"/>
  <c r="I1117" i="1"/>
  <c r="N1117" i="1" s="1"/>
  <c r="I1118" i="1"/>
  <c r="N1118" i="1" s="1"/>
  <c r="I1119" i="1"/>
  <c r="K1119" i="1" s="1"/>
  <c r="I1120" i="1"/>
  <c r="N1120" i="1" s="1"/>
  <c r="I1121" i="1"/>
  <c r="N1121" i="1" s="1"/>
  <c r="I1122" i="1"/>
  <c r="K1122" i="1" s="1"/>
  <c r="I1123" i="1"/>
  <c r="N1123" i="1" s="1"/>
  <c r="I1124" i="1"/>
  <c r="N1124" i="1" s="1"/>
  <c r="I1125" i="1"/>
  <c r="K1125" i="1" s="1"/>
  <c r="I1126" i="1"/>
  <c r="K1126" i="1" s="1"/>
  <c r="I1127" i="1"/>
  <c r="K1127" i="1" s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F19" i="2"/>
  <c r="I1084" i="1"/>
  <c r="L1084" i="1" s="1"/>
  <c r="I1098" i="1"/>
  <c r="L1098" i="1" s="1"/>
  <c r="I1099" i="1"/>
  <c r="L1099" i="1" s="1"/>
  <c r="I1085" i="1"/>
  <c r="L1085" i="1" s="1"/>
  <c r="I1100" i="1"/>
  <c r="K1100" i="1" s="1"/>
  <c r="I1086" i="1"/>
  <c r="M1086" i="1" s="1"/>
  <c r="I1101" i="1"/>
  <c r="K1101" i="1" s="1"/>
  <c r="I1087" i="1"/>
  <c r="N1087" i="1" s="1"/>
  <c r="I1102" i="1"/>
  <c r="K1102" i="1" s="1"/>
  <c r="I1088" i="1"/>
  <c r="K1088" i="1" s="1"/>
  <c r="I1103" i="1"/>
  <c r="K1103" i="1" s="1"/>
  <c r="I1089" i="1"/>
  <c r="K1089" i="1" s="1"/>
  <c r="I1104" i="1"/>
  <c r="K1104" i="1" s="1"/>
  <c r="I1090" i="1"/>
  <c r="M1090" i="1" s="1"/>
  <c r="I1105" i="1"/>
  <c r="K1105" i="1" s="1"/>
  <c r="I1091" i="1"/>
  <c r="K1091" i="1" s="1"/>
  <c r="I1106" i="1"/>
  <c r="L1106" i="1" s="1"/>
  <c r="I1092" i="1"/>
  <c r="M1092" i="1" s="1"/>
  <c r="I1107" i="1"/>
  <c r="L1107" i="1" s="1"/>
  <c r="I1093" i="1"/>
  <c r="M1093" i="1" s="1"/>
  <c r="I1108" i="1"/>
  <c r="M1108" i="1" s="1"/>
  <c r="I1094" i="1"/>
  <c r="K1094" i="1" s="1"/>
  <c r="I1109" i="1"/>
  <c r="N1109" i="1" s="1"/>
  <c r="I1095" i="1"/>
  <c r="M1095" i="1" s="1"/>
  <c r="I1110" i="1"/>
  <c r="M1110" i="1" s="1"/>
  <c r="I1096" i="1"/>
  <c r="N1096" i="1" s="1"/>
  <c r="I1111" i="1"/>
  <c r="L1111" i="1" s="1"/>
  <c r="I1097" i="1"/>
  <c r="L1097" i="1" s="1"/>
  <c r="I1112" i="1"/>
  <c r="K1112" i="1" s="1"/>
  <c r="B1084" i="1"/>
  <c r="C1084" i="1"/>
  <c r="B1098" i="1"/>
  <c r="C1098" i="1"/>
  <c r="B1099" i="1"/>
  <c r="C1099" i="1"/>
  <c r="B1085" i="1"/>
  <c r="C1085" i="1"/>
  <c r="B1100" i="1"/>
  <c r="C1100" i="1"/>
  <c r="B1086" i="1"/>
  <c r="C1086" i="1"/>
  <c r="B1101" i="1"/>
  <c r="C1101" i="1"/>
  <c r="B1087" i="1"/>
  <c r="C1087" i="1"/>
  <c r="B1102" i="1"/>
  <c r="C1102" i="1"/>
  <c r="B1088" i="1"/>
  <c r="C1088" i="1"/>
  <c r="B1103" i="1"/>
  <c r="C1103" i="1"/>
  <c r="B1089" i="1"/>
  <c r="C1089" i="1"/>
  <c r="B1104" i="1"/>
  <c r="C1104" i="1"/>
  <c r="B1090" i="1"/>
  <c r="C1090" i="1"/>
  <c r="B1105" i="1"/>
  <c r="C1105" i="1"/>
  <c r="B1091" i="1"/>
  <c r="C1091" i="1"/>
  <c r="B1106" i="1"/>
  <c r="C1106" i="1"/>
  <c r="B1092" i="1"/>
  <c r="C1092" i="1"/>
  <c r="B1107" i="1"/>
  <c r="C1107" i="1"/>
  <c r="B1093" i="1"/>
  <c r="C1093" i="1"/>
  <c r="B1108" i="1"/>
  <c r="C1108" i="1"/>
  <c r="B1094" i="1"/>
  <c r="C1094" i="1"/>
  <c r="B1109" i="1"/>
  <c r="C1109" i="1"/>
  <c r="B1095" i="1"/>
  <c r="C1095" i="1"/>
  <c r="B1110" i="1"/>
  <c r="C1110" i="1"/>
  <c r="B1096" i="1"/>
  <c r="C1096" i="1"/>
  <c r="B1111" i="1"/>
  <c r="C1111" i="1"/>
  <c r="B1097" i="1"/>
  <c r="C1097" i="1"/>
  <c r="B1112" i="1"/>
  <c r="C1112" i="1"/>
  <c r="F22" i="2"/>
  <c r="F29" i="2"/>
  <c r="I879" i="1"/>
  <c r="K879" i="1" s="1"/>
  <c r="I891" i="1"/>
  <c r="N891" i="1" s="1"/>
  <c r="I916" i="1"/>
  <c r="K916" i="1" s="1"/>
  <c r="I927" i="1"/>
  <c r="N927" i="1" s="1"/>
  <c r="I938" i="1"/>
  <c r="K938" i="1" s="1"/>
  <c r="I949" i="1"/>
  <c r="K949" i="1" s="1"/>
  <c r="I962" i="1"/>
  <c r="K962" i="1" s="1"/>
  <c r="I976" i="1"/>
  <c r="N976" i="1" s="1"/>
  <c r="I989" i="1"/>
  <c r="M989" i="1" s="1"/>
  <c r="I1001" i="1"/>
  <c r="M1001" i="1" s="1"/>
  <c r="I1015" i="1"/>
  <c r="N1015" i="1" s="1"/>
  <c r="I1029" i="1"/>
  <c r="N1029" i="1" s="1"/>
  <c r="I1043" i="1"/>
  <c r="K1043" i="1" s="1"/>
  <c r="I1056" i="1"/>
  <c r="L1056" i="1" s="1"/>
  <c r="I1070" i="1"/>
  <c r="M1070" i="1" s="1"/>
  <c r="I865" i="1"/>
  <c r="N865" i="1" s="1"/>
  <c r="I892" i="1"/>
  <c r="L892" i="1" s="1"/>
  <c r="I904" i="1"/>
  <c r="L904" i="1" s="1"/>
  <c r="I917" i="1"/>
  <c r="L917" i="1" s="1"/>
  <c r="I928" i="1"/>
  <c r="M928" i="1" s="1"/>
  <c r="I950" i="1"/>
  <c r="L950" i="1" s="1"/>
  <c r="I963" i="1"/>
  <c r="N963" i="1" s="1"/>
  <c r="I977" i="1"/>
  <c r="N977" i="1" s="1"/>
  <c r="I990" i="1"/>
  <c r="L990" i="1" s="1"/>
  <c r="I1002" i="1"/>
  <c r="M1002" i="1" s="1"/>
  <c r="I1016" i="1"/>
  <c r="L1016" i="1" s="1"/>
  <c r="I1030" i="1"/>
  <c r="L1030" i="1" s="1"/>
  <c r="I1057" i="1"/>
  <c r="N1057" i="1" s="1"/>
  <c r="I1071" i="1"/>
  <c r="L1071" i="1" s="1"/>
  <c r="I832" i="1"/>
  <c r="L832" i="1" s="1"/>
  <c r="I842" i="1"/>
  <c r="K842" i="1" s="1"/>
  <c r="I852" i="1"/>
  <c r="K852" i="1" s="1"/>
  <c r="I866" i="1"/>
  <c r="N866" i="1" s="1"/>
  <c r="I893" i="1"/>
  <c r="K893" i="1" s="1"/>
  <c r="I905" i="1"/>
  <c r="K905" i="1" s="1"/>
  <c r="I918" i="1"/>
  <c r="K918" i="1" s="1"/>
  <c r="I929" i="1"/>
  <c r="N929" i="1" s="1"/>
  <c r="I939" i="1"/>
  <c r="K939" i="1" s="1"/>
  <c r="I951" i="1"/>
  <c r="N951" i="1" s="1"/>
  <c r="I964" i="1"/>
  <c r="K964" i="1" s="1"/>
  <c r="I978" i="1"/>
  <c r="M978" i="1" s="1"/>
  <c r="I991" i="1"/>
  <c r="K991" i="1" s="1"/>
  <c r="I1003" i="1"/>
  <c r="K1003" i="1" s="1"/>
  <c r="I1017" i="1"/>
  <c r="N1017" i="1" s="1"/>
  <c r="I1031" i="1"/>
  <c r="L1031" i="1" s="1"/>
  <c r="I1044" i="1"/>
  <c r="M1044" i="1" s="1"/>
  <c r="I1058" i="1"/>
  <c r="K1058" i="1" s="1"/>
  <c r="I1072" i="1"/>
  <c r="N1072" i="1" s="1"/>
  <c r="I853" i="1"/>
  <c r="L853" i="1" s="1"/>
  <c r="I867" i="1"/>
  <c r="M867" i="1" s="1"/>
  <c r="I880" i="1"/>
  <c r="K880" i="1" s="1"/>
  <c r="I894" i="1"/>
  <c r="M894" i="1" s="1"/>
  <c r="I906" i="1"/>
  <c r="L906" i="1" s="1"/>
  <c r="I919" i="1"/>
  <c r="M919" i="1" s="1"/>
  <c r="I930" i="1"/>
  <c r="L930" i="1" s="1"/>
  <c r="I940" i="1"/>
  <c r="M940" i="1" s="1"/>
  <c r="I952" i="1"/>
  <c r="N952" i="1" s="1"/>
  <c r="I965" i="1"/>
  <c r="L965" i="1" s="1"/>
  <c r="I979" i="1"/>
  <c r="N979" i="1" s="1"/>
  <c r="I992" i="1"/>
  <c r="L992" i="1" s="1"/>
  <c r="I1004" i="1"/>
  <c r="L1004" i="1" s="1"/>
  <c r="I1018" i="1"/>
  <c r="L1018" i="1" s="1"/>
  <c r="I1032" i="1"/>
  <c r="L1032" i="1" s="1"/>
  <c r="I1045" i="1"/>
  <c r="M1045" i="1" s="1"/>
  <c r="I1059" i="1"/>
  <c r="K1059" i="1" s="1"/>
  <c r="I1073" i="1"/>
  <c r="M1073" i="1" s="1"/>
  <c r="I833" i="1"/>
  <c r="L833" i="1" s="1"/>
  <c r="I843" i="1"/>
  <c r="L843" i="1" s="1"/>
  <c r="I854" i="1"/>
  <c r="K854" i="1" s="1"/>
  <c r="I868" i="1"/>
  <c r="L868" i="1" s="1"/>
  <c r="I895" i="1"/>
  <c r="L895" i="1" s="1"/>
  <c r="I907" i="1"/>
  <c r="L907" i="1" s="1"/>
  <c r="I920" i="1"/>
  <c r="K920" i="1" s="1"/>
  <c r="I931" i="1"/>
  <c r="N931" i="1" s="1"/>
  <c r="I941" i="1"/>
  <c r="M941" i="1" s="1"/>
  <c r="I953" i="1"/>
  <c r="N953" i="1" s="1"/>
  <c r="I966" i="1"/>
  <c r="K966" i="1" s="1"/>
  <c r="I1005" i="1"/>
  <c r="K1005" i="1" s="1"/>
  <c r="I1019" i="1"/>
  <c r="M1019" i="1" s="1"/>
  <c r="I1033" i="1"/>
  <c r="N1033" i="1" s="1"/>
  <c r="I1046" i="1"/>
  <c r="M1046" i="1" s="1"/>
  <c r="I1060" i="1"/>
  <c r="M1060" i="1" s="1"/>
  <c r="I1074" i="1"/>
  <c r="L1074" i="1" s="1"/>
  <c r="I834" i="1"/>
  <c r="M834" i="1" s="1"/>
  <c r="I844" i="1"/>
  <c r="K844" i="1" s="1"/>
  <c r="I855" i="1"/>
  <c r="L855" i="1" s="1"/>
  <c r="I869" i="1"/>
  <c r="K869" i="1" s="1"/>
  <c r="I881" i="1"/>
  <c r="L881" i="1" s="1"/>
  <c r="I896" i="1"/>
  <c r="K896" i="1" s="1"/>
  <c r="I908" i="1"/>
  <c r="K908" i="1" s="1"/>
  <c r="I921" i="1"/>
  <c r="N921" i="1" s="1"/>
  <c r="I932" i="1"/>
  <c r="L932" i="1" s="1"/>
  <c r="I942" i="1"/>
  <c r="L942" i="1" s="1"/>
  <c r="I954" i="1"/>
  <c r="K954" i="1" s="1"/>
  <c r="I967" i="1"/>
  <c r="L967" i="1" s="1"/>
  <c r="I980" i="1"/>
  <c r="L980" i="1" s="1"/>
  <c r="I993" i="1"/>
  <c r="L993" i="1" s="1"/>
  <c r="I1006" i="1"/>
  <c r="L1006" i="1" s="1"/>
  <c r="I1020" i="1"/>
  <c r="N1020" i="1" s="1"/>
  <c r="I1034" i="1"/>
  <c r="K1034" i="1" s="1"/>
  <c r="I1047" i="1"/>
  <c r="N1047" i="1" s="1"/>
  <c r="I1061" i="1"/>
  <c r="L1061" i="1" s="1"/>
  <c r="I1075" i="1"/>
  <c r="K1075" i="1" s="1"/>
  <c r="I835" i="1"/>
  <c r="K835" i="1" s="1"/>
  <c r="I845" i="1"/>
  <c r="L845" i="1" s="1"/>
  <c r="I856" i="1"/>
  <c r="K856" i="1" s="1"/>
  <c r="I870" i="1"/>
  <c r="K870" i="1" s="1"/>
  <c r="I882" i="1"/>
  <c r="K882" i="1" s="1"/>
  <c r="I897" i="1"/>
  <c r="M897" i="1" s="1"/>
  <c r="I909" i="1"/>
  <c r="K909" i="1" s="1"/>
  <c r="I922" i="1"/>
  <c r="K922" i="1" s="1"/>
  <c r="I933" i="1"/>
  <c r="K933" i="1" s="1"/>
  <c r="I943" i="1"/>
  <c r="M943" i="1" s="1"/>
  <c r="I955" i="1"/>
  <c r="K955" i="1" s="1"/>
  <c r="I968" i="1"/>
  <c r="K968" i="1" s="1"/>
  <c r="I981" i="1"/>
  <c r="N981" i="1" s="1"/>
  <c r="I994" i="1"/>
  <c r="M994" i="1" s="1"/>
  <c r="I1007" i="1"/>
  <c r="M1007" i="1" s="1"/>
  <c r="I1021" i="1"/>
  <c r="K1021" i="1" s="1"/>
  <c r="I1035" i="1"/>
  <c r="N1035" i="1" s="1"/>
  <c r="I1048" i="1"/>
  <c r="K1048" i="1" s="1"/>
  <c r="I1062" i="1"/>
  <c r="K1062" i="1" s="1"/>
  <c r="I1076" i="1"/>
  <c r="K1076" i="1" s="1"/>
  <c r="I846" i="1"/>
  <c r="M846" i="1" s="1"/>
  <c r="I857" i="1"/>
  <c r="M857" i="1" s="1"/>
  <c r="I871" i="1"/>
  <c r="N871" i="1" s="1"/>
  <c r="I883" i="1"/>
  <c r="M883" i="1" s="1"/>
  <c r="I898" i="1"/>
  <c r="L898" i="1" s="1"/>
  <c r="I910" i="1"/>
  <c r="K910" i="1" s="1"/>
  <c r="I923" i="1"/>
  <c r="N923" i="1" s="1"/>
  <c r="I944" i="1"/>
  <c r="L944" i="1" s="1"/>
  <c r="I956" i="1"/>
  <c r="M956" i="1" s="1"/>
  <c r="I969" i="1"/>
  <c r="M969" i="1" s="1"/>
  <c r="I982" i="1"/>
  <c r="M982" i="1" s="1"/>
  <c r="I995" i="1"/>
  <c r="K995" i="1" s="1"/>
  <c r="I1008" i="1"/>
  <c r="K1008" i="1" s="1"/>
  <c r="I1022" i="1"/>
  <c r="M1022" i="1" s="1"/>
  <c r="I1036" i="1"/>
  <c r="M1036" i="1" s="1"/>
  <c r="I1049" i="1"/>
  <c r="K1049" i="1" s="1"/>
  <c r="I1063" i="1"/>
  <c r="K1063" i="1" s="1"/>
  <c r="I1077" i="1"/>
  <c r="K1077" i="1" s="1"/>
  <c r="I872" i="1"/>
  <c r="L872" i="1" s="1"/>
  <c r="I884" i="1"/>
  <c r="L884" i="1" s="1"/>
  <c r="I899" i="1"/>
  <c r="L899" i="1" s="1"/>
  <c r="I911" i="1"/>
  <c r="L911" i="1" s="1"/>
  <c r="I924" i="1"/>
  <c r="M924" i="1" s="1"/>
  <c r="I934" i="1"/>
  <c r="L934" i="1" s="1"/>
  <c r="I945" i="1"/>
  <c r="L945" i="1" s="1"/>
  <c r="I957" i="1"/>
  <c r="M957" i="1" s="1"/>
  <c r="I970" i="1"/>
  <c r="K970" i="1" s="1"/>
  <c r="I983" i="1"/>
  <c r="K983" i="1" s="1"/>
  <c r="I996" i="1"/>
  <c r="L996" i="1" s="1"/>
  <c r="I1009" i="1"/>
  <c r="K1009" i="1" s="1"/>
  <c r="I1023" i="1"/>
  <c r="K1023" i="1" s="1"/>
  <c r="I1037" i="1"/>
  <c r="M1037" i="1" s="1"/>
  <c r="I1050" i="1"/>
  <c r="K1050" i="1" s="1"/>
  <c r="I1064" i="1"/>
  <c r="K1064" i="1" s="1"/>
  <c r="I1078" i="1"/>
  <c r="M1078" i="1" s="1"/>
  <c r="I858" i="1"/>
  <c r="L858" i="1" s="1"/>
  <c r="I873" i="1"/>
  <c r="K873" i="1" s="1"/>
  <c r="I885" i="1"/>
  <c r="K885" i="1" s="1"/>
  <c r="I900" i="1"/>
  <c r="M900" i="1" s="1"/>
  <c r="I912" i="1"/>
  <c r="M912" i="1" s="1"/>
  <c r="I935" i="1"/>
  <c r="K935" i="1" s="1"/>
  <c r="I946" i="1"/>
  <c r="K946" i="1" s="1"/>
  <c r="I958" i="1"/>
  <c r="M958" i="1" s="1"/>
  <c r="I971" i="1"/>
  <c r="K971" i="1" s="1"/>
  <c r="I984" i="1"/>
  <c r="L984" i="1" s="1"/>
  <c r="I997" i="1"/>
  <c r="M997" i="1" s="1"/>
  <c r="I1010" i="1"/>
  <c r="L1010" i="1" s="1"/>
  <c r="I1024" i="1"/>
  <c r="K1024" i="1" s="1"/>
  <c r="I1038" i="1"/>
  <c r="K1038" i="1" s="1"/>
  <c r="I1051" i="1"/>
  <c r="M1051" i="1" s="1"/>
  <c r="I1065" i="1"/>
  <c r="L1065" i="1" s="1"/>
  <c r="I1079" i="1"/>
  <c r="K1079" i="1" s="1"/>
  <c r="I836" i="1"/>
  <c r="N836" i="1" s="1"/>
  <c r="I847" i="1"/>
  <c r="L847" i="1" s="1"/>
  <c r="I859" i="1"/>
  <c r="L859" i="1" s="1"/>
  <c r="I874" i="1"/>
  <c r="N874" i="1" s="1"/>
  <c r="I886" i="1"/>
  <c r="L886" i="1" s="1"/>
  <c r="I901" i="1"/>
  <c r="K901" i="1" s="1"/>
  <c r="I913" i="1"/>
  <c r="K913" i="1" s="1"/>
  <c r="I925" i="1"/>
  <c r="L925" i="1" s="1"/>
  <c r="I936" i="1"/>
  <c r="M936" i="1" s="1"/>
  <c r="I947" i="1"/>
  <c r="M947" i="1" s="1"/>
  <c r="I959" i="1"/>
  <c r="L959" i="1" s="1"/>
  <c r="I972" i="1"/>
  <c r="K972" i="1" s="1"/>
  <c r="I985" i="1"/>
  <c r="K985" i="1" s="1"/>
  <c r="I998" i="1"/>
  <c r="K998" i="1" s="1"/>
  <c r="I1011" i="1"/>
  <c r="L1011" i="1" s="1"/>
  <c r="I1025" i="1"/>
  <c r="K1025" i="1" s="1"/>
  <c r="I1039" i="1"/>
  <c r="K1039" i="1" s="1"/>
  <c r="I1052" i="1"/>
  <c r="M1052" i="1" s="1"/>
  <c r="I1066" i="1"/>
  <c r="K1066" i="1" s="1"/>
  <c r="I1080" i="1"/>
  <c r="K1080" i="1" s="1"/>
  <c r="I837" i="1"/>
  <c r="M837" i="1" s="1"/>
  <c r="I838" i="1"/>
  <c r="L838" i="1" s="1"/>
  <c r="I848" i="1"/>
  <c r="L848" i="1" s="1"/>
  <c r="I860" i="1"/>
  <c r="L860" i="1" s="1"/>
  <c r="I875" i="1"/>
  <c r="M875" i="1" s="1"/>
  <c r="I887" i="1"/>
  <c r="L887" i="1" s="1"/>
  <c r="I960" i="1"/>
  <c r="M960" i="1" s="1"/>
  <c r="I973" i="1"/>
  <c r="L973" i="1" s="1"/>
  <c r="I986" i="1"/>
  <c r="M986" i="1" s="1"/>
  <c r="I999" i="1"/>
  <c r="K999" i="1" s="1"/>
  <c r="I1012" i="1"/>
  <c r="M1012" i="1" s="1"/>
  <c r="I1026" i="1"/>
  <c r="N1026" i="1" s="1"/>
  <c r="I1040" i="1"/>
  <c r="M1040" i="1" s="1"/>
  <c r="I1053" i="1"/>
  <c r="K1053" i="1" s="1"/>
  <c r="I1067" i="1"/>
  <c r="M1067" i="1" s="1"/>
  <c r="I1081" i="1"/>
  <c r="L1081" i="1" s="1"/>
  <c r="I839" i="1"/>
  <c r="M839" i="1" s="1"/>
  <c r="I849" i="1"/>
  <c r="L849" i="1" s="1"/>
  <c r="I861" i="1"/>
  <c r="N861" i="1" s="1"/>
  <c r="I876" i="1"/>
  <c r="M876" i="1" s="1"/>
  <c r="I888" i="1"/>
  <c r="M888" i="1" s="1"/>
  <c r="I902" i="1"/>
  <c r="K902" i="1" s="1"/>
  <c r="I914" i="1"/>
  <c r="N914" i="1" s="1"/>
  <c r="I974" i="1"/>
  <c r="N974" i="1" s="1"/>
  <c r="I987" i="1"/>
  <c r="M987" i="1" s="1"/>
  <c r="I1013" i="1"/>
  <c r="L1013" i="1" s="1"/>
  <c r="I1027" i="1"/>
  <c r="N1027" i="1" s="1"/>
  <c r="I1041" i="1"/>
  <c r="N1041" i="1" s="1"/>
  <c r="I1054" i="1"/>
  <c r="K1054" i="1" s="1"/>
  <c r="I1068" i="1"/>
  <c r="K1068" i="1" s="1"/>
  <c r="I1082" i="1"/>
  <c r="M1082" i="1" s="1"/>
  <c r="I840" i="1"/>
  <c r="L840" i="1" s="1"/>
  <c r="I850" i="1"/>
  <c r="M850" i="1" s="1"/>
  <c r="I862" i="1"/>
  <c r="M862" i="1" s="1"/>
  <c r="I877" i="1"/>
  <c r="L877" i="1" s="1"/>
  <c r="I889" i="1"/>
  <c r="M889" i="1" s="1"/>
  <c r="I863" i="1"/>
  <c r="M863" i="1" s="1"/>
  <c r="I878" i="1"/>
  <c r="N878" i="1" s="1"/>
  <c r="I890" i="1"/>
  <c r="M890" i="1" s="1"/>
  <c r="I903" i="1"/>
  <c r="M903" i="1" s="1"/>
  <c r="I915" i="1"/>
  <c r="M915" i="1" s="1"/>
  <c r="I926" i="1"/>
  <c r="K926" i="1" s="1"/>
  <c r="I937" i="1"/>
  <c r="L937" i="1" s="1"/>
  <c r="I948" i="1"/>
  <c r="M948" i="1" s="1"/>
  <c r="I961" i="1"/>
  <c r="M961" i="1" s="1"/>
  <c r="I975" i="1"/>
  <c r="N975" i="1" s="1"/>
  <c r="I988" i="1"/>
  <c r="K988" i="1" s="1"/>
  <c r="I1000" i="1"/>
  <c r="L1000" i="1" s="1"/>
  <c r="I1014" i="1"/>
  <c r="M1014" i="1" s="1"/>
  <c r="I1028" i="1"/>
  <c r="L1028" i="1" s="1"/>
  <c r="I1042" i="1"/>
  <c r="M1042" i="1" s="1"/>
  <c r="I1055" i="1"/>
  <c r="K1055" i="1" s="1"/>
  <c r="I1069" i="1"/>
  <c r="K1069" i="1" s="1"/>
  <c r="I1083" i="1"/>
  <c r="K1083" i="1" s="1"/>
  <c r="I831" i="1"/>
  <c r="K831" i="1" s="1"/>
  <c r="I841" i="1"/>
  <c r="K841" i="1" s="1"/>
  <c r="I851" i="1"/>
  <c r="K851" i="1" s="1"/>
  <c r="I864" i="1"/>
  <c r="K864" i="1" s="1"/>
  <c r="B831" i="1"/>
  <c r="C831" i="1"/>
  <c r="B841" i="1"/>
  <c r="C841" i="1"/>
  <c r="B851" i="1"/>
  <c r="C851" i="1"/>
  <c r="B864" i="1"/>
  <c r="C864" i="1"/>
  <c r="B879" i="1"/>
  <c r="C879" i="1"/>
  <c r="B891" i="1"/>
  <c r="C891" i="1"/>
  <c r="B916" i="1"/>
  <c r="C916" i="1"/>
  <c r="B927" i="1"/>
  <c r="C927" i="1"/>
  <c r="B938" i="1"/>
  <c r="C938" i="1"/>
  <c r="B949" i="1"/>
  <c r="C949" i="1"/>
  <c r="B962" i="1"/>
  <c r="C962" i="1"/>
  <c r="B976" i="1"/>
  <c r="C976" i="1"/>
  <c r="B989" i="1"/>
  <c r="C989" i="1"/>
  <c r="B1001" i="1"/>
  <c r="C1001" i="1"/>
  <c r="B1015" i="1"/>
  <c r="C1015" i="1"/>
  <c r="B1029" i="1"/>
  <c r="C1029" i="1"/>
  <c r="B1043" i="1"/>
  <c r="C1043" i="1"/>
  <c r="B1056" i="1"/>
  <c r="C1056" i="1"/>
  <c r="B1070" i="1"/>
  <c r="C1070" i="1"/>
  <c r="B865" i="1"/>
  <c r="C865" i="1"/>
  <c r="B892" i="1"/>
  <c r="C892" i="1"/>
  <c r="B904" i="1"/>
  <c r="C904" i="1"/>
  <c r="B917" i="1"/>
  <c r="C917" i="1"/>
  <c r="B928" i="1"/>
  <c r="C928" i="1"/>
  <c r="B950" i="1"/>
  <c r="C950" i="1"/>
  <c r="B963" i="1"/>
  <c r="C963" i="1"/>
  <c r="B977" i="1"/>
  <c r="C977" i="1"/>
  <c r="B990" i="1"/>
  <c r="C990" i="1"/>
  <c r="B1002" i="1"/>
  <c r="C1002" i="1"/>
  <c r="B1016" i="1"/>
  <c r="C1016" i="1"/>
  <c r="B1030" i="1"/>
  <c r="C1030" i="1"/>
  <c r="B1057" i="1"/>
  <c r="C1057" i="1"/>
  <c r="B1071" i="1"/>
  <c r="C1071" i="1"/>
  <c r="B832" i="1"/>
  <c r="C832" i="1"/>
  <c r="B842" i="1"/>
  <c r="C842" i="1"/>
  <c r="B852" i="1"/>
  <c r="C852" i="1"/>
  <c r="B866" i="1"/>
  <c r="C866" i="1"/>
  <c r="B893" i="1"/>
  <c r="C893" i="1"/>
  <c r="B905" i="1"/>
  <c r="C905" i="1"/>
  <c r="B918" i="1"/>
  <c r="C918" i="1"/>
  <c r="B929" i="1"/>
  <c r="C929" i="1"/>
  <c r="B939" i="1"/>
  <c r="C939" i="1"/>
  <c r="B951" i="1"/>
  <c r="C951" i="1"/>
  <c r="B964" i="1"/>
  <c r="C964" i="1"/>
  <c r="B978" i="1"/>
  <c r="C978" i="1"/>
  <c r="B991" i="1"/>
  <c r="C991" i="1"/>
  <c r="B1003" i="1"/>
  <c r="C1003" i="1"/>
  <c r="B1017" i="1"/>
  <c r="C1017" i="1"/>
  <c r="B1031" i="1"/>
  <c r="C1031" i="1"/>
  <c r="B1044" i="1"/>
  <c r="C1044" i="1"/>
  <c r="B1058" i="1"/>
  <c r="C1058" i="1"/>
  <c r="B1072" i="1"/>
  <c r="C1072" i="1"/>
  <c r="B853" i="1"/>
  <c r="C853" i="1"/>
  <c r="B867" i="1"/>
  <c r="C867" i="1"/>
  <c r="B880" i="1"/>
  <c r="C880" i="1"/>
  <c r="B894" i="1"/>
  <c r="C894" i="1"/>
  <c r="B906" i="1"/>
  <c r="C906" i="1"/>
  <c r="B919" i="1"/>
  <c r="C919" i="1"/>
  <c r="B930" i="1"/>
  <c r="C930" i="1"/>
  <c r="B940" i="1"/>
  <c r="C940" i="1"/>
  <c r="B952" i="1"/>
  <c r="C952" i="1"/>
  <c r="B965" i="1"/>
  <c r="C965" i="1"/>
  <c r="B979" i="1"/>
  <c r="C979" i="1"/>
  <c r="B992" i="1"/>
  <c r="C992" i="1"/>
  <c r="B1004" i="1"/>
  <c r="C1004" i="1"/>
  <c r="B1018" i="1"/>
  <c r="C1018" i="1"/>
  <c r="B1032" i="1"/>
  <c r="C1032" i="1"/>
  <c r="B1045" i="1"/>
  <c r="C1045" i="1"/>
  <c r="B1059" i="1"/>
  <c r="C1059" i="1"/>
  <c r="B1073" i="1"/>
  <c r="C1073" i="1"/>
  <c r="B833" i="1"/>
  <c r="C833" i="1"/>
  <c r="B843" i="1"/>
  <c r="C843" i="1"/>
  <c r="B854" i="1"/>
  <c r="C854" i="1"/>
  <c r="B868" i="1"/>
  <c r="C868" i="1"/>
  <c r="B895" i="1"/>
  <c r="C895" i="1"/>
  <c r="B907" i="1"/>
  <c r="C907" i="1"/>
  <c r="B920" i="1"/>
  <c r="C920" i="1"/>
  <c r="B931" i="1"/>
  <c r="C931" i="1"/>
  <c r="B941" i="1"/>
  <c r="C941" i="1"/>
  <c r="B953" i="1"/>
  <c r="C953" i="1"/>
  <c r="B966" i="1"/>
  <c r="C966" i="1"/>
  <c r="B1005" i="1"/>
  <c r="C1005" i="1"/>
  <c r="B1019" i="1"/>
  <c r="C1019" i="1"/>
  <c r="B1033" i="1"/>
  <c r="C1033" i="1"/>
  <c r="B1046" i="1"/>
  <c r="C1046" i="1"/>
  <c r="B1060" i="1"/>
  <c r="C1060" i="1"/>
  <c r="B1074" i="1"/>
  <c r="C1074" i="1"/>
  <c r="B834" i="1"/>
  <c r="C834" i="1"/>
  <c r="B844" i="1"/>
  <c r="C844" i="1"/>
  <c r="B855" i="1"/>
  <c r="C855" i="1"/>
  <c r="B869" i="1"/>
  <c r="C869" i="1"/>
  <c r="B881" i="1"/>
  <c r="C881" i="1"/>
  <c r="B896" i="1"/>
  <c r="C896" i="1"/>
  <c r="B908" i="1"/>
  <c r="C908" i="1"/>
  <c r="B921" i="1"/>
  <c r="C921" i="1"/>
  <c r="B932" i="1"/>
  <c r="C932" i="1"/>
  <c r="B942" i="1"/>
  <c r="C942" i="1"/>
  <c r="B954" i="1"/>
  <c r="C954" i="1"/>
  <c r="B967" i="1"/>
  <c r="C967" i="1"/>
  <c r="B980" i="1"/>
  <c r="C980" i="1"/>
  <c r="B993" i="1"/>
  <c r="C993" i="1"/>
  <c r="B1006" i="1"/>
  <c r="C1006" i="1"/>
  <c r="B1020" i="1"/>
  <c r="C1020" i="1"/>
  <c r="B1034" i="1"/>
  <c r="C1034" i="1"/>
  <c r="B1047" i="1"/>
  <c r="C1047" i="1"/>
  <c r="B1061" i="1"/>
  <c r="C1061" i="1"/>
  <c r="B1075" i="1"/>
  <c r="C1075" i="1"/>
  <c r="B835" i="1"/>
  <c r="C835" i="1"/>
  <c r="B845" i="1"/>
  <c r="C845" i="1"/>
  <c r="B856" i="1"/>
  <c r="C856" i="1"/>
  <c r="B870" i="1"/>
  <c r="C870" i="1"/>
  <c r="B882" i="1"/>
  <c r="C882" i="1"/>
  <c r="B897" i="1"/>
  <c r="C897" i="1"/>
  <c r="B909" i="1"/>
  <c r="C909" i="1"/>
  <c r="B922" i="1"/>
  <c r="C922" i="1"/>
  <c r="B933" i="1"/>
  <c r="C933" i="1"/>
  <c r="B943" i="1"/>
  <c r="C943" i="1"/>
  <c r="B955" i="1"/>
  <c r="C955" i="1"/>
  <c r="B968" i="1"/>
  <c r="C968" i="1"/>
  <c r="B981" i="1"/>
  <c r="C981" i="1"/>
  <c r="B994" i="1"/>
  <c r="C994" i="1"/>
  <c r="B1007" i="1"/>
  <c r="C1007" i="1"/>
  <c r="B1021" i="1"/>
  <c r="C1021" i="1"/>
  <c r="B1035" i="1"/>
  <c r="C1035" i="1"/>
  <c r="B1048" i="1"/>
  <c r="C1048" i="1"/>
  <c r="B1062" i="1"/>
  <c r="C1062" i="1"/>
  <c r="B1076" i="1"/>
  <c r="C1076" i="1"/>
  <c r="B846" i="1"/>
  <c r="C846" i="1"/>
  <c r="B857" i="1"/>
  <c r="C857" i="1"/>
  <c r="B871" i="1"/>
  <c r="C871" i="1"/>
  <c r="B883" i="1"/>
  <c r="C883" i="1"/>
  <c r="B898" i="1"/>
  <c r="C898" i="1"/>
  <c r="B910" i="1"/>
  <c r="C910" i="1"/>
  <c r="B923" i="1"/>
  <c r="C923" i="1"/>
  <c r="B944" i="1"/>
  <c r="C944" i="1"/>
  <c r="B956" i="1"/>
  <c r="C956" i="1"/>
  <c r="B969" i="1"/>
  <c r="C969" i="1"/>
  <c r="B982" i="1"/>
  <c r="C982" i="1"/>
  <c r="B995" i="1"/>
  <c r="C995" i="1"/>
  <c r="B1008" i="1"/>
  <c r="C1008" i="1"/>
  <c r="B1022" i="1"/>
  <c r="C1022" i="1"/>
  <c r="B1036" i="1"/>
  <c r="C1036" i="1"/>
  <c r="B1049" i="1"/>
  <c r="C1049" i="1"/>
  <c r="B1063" i="1"/>
  <c r="C1063" i="1"/>
  <c r="B1077" i="1"/>
  <c r="C1077" i="1"/>
  <c r="B872" i="1"/>
  <c r="C872" i="1"/>
  <c r="B884" i="1"/>
  <c r="C884" i="1"/>
  <c r="B899" i="1"/>
  <c r="C899" i="1"/>
  <c r="B911" i="1"/>
  <c r="C911" i="1"/>
  <c r="B924" i="1"/>
  <c r="C924" i="1"/>
  <c r="B934" i="1"/>
  <c r="C934" i="1"/>
  <c r="B945" i="1"/>
  <c r="C945" i="1"/>
  <c r="B957" i="1"/>
  <c r="C957" i="1"/>
  <c r="B970" i="1"/>
  <c r="C970" i="1"/>
  <c r="B983" i="1"/>
  <c r="C983" i="1"/>
  <c r="B996" i="1"/>
  <c r="C996" i="1"/>
  <c r="B1009" i="1"/>
  <c r="C1009" i="1"/>
  <c r="B1023" i="1"/>
  <c r="C1023" i="1"/>
  <c r="B1037" i="1"/>
  <c r="C1037" i="1"/>
  <c r="B1050" i="1"/>
  <c r="C1050" i="1"/>
  <c r="B1064" i="1"/>
  <c r="C1064" i="1"/>
  <c r="B1078" i="1"/>
  <c r="C1078" i="1"/>
  <c r="B858" i="1"/>
  <c r="C858" i="1"/>
  <c r="B873" i="1"/>
  <c r="C873" i="1"/>
  <c r="B885" i="1"/>
  <c r="C885" i="1"/>
  <c r="B900" i="1"/>
  <c r="C900" i="1"/>
  <c r="B912" i="1"/>
  <c r="C912" i="1"/>
  <c r="B935" i="1"/>
  <c r="C935" i="1"/>
  <c r="B946" i="1"/>
  <c r="C946" i="1"/>
  <c r="B958" i="1"/>
  <c r="C958" i="1"/>
  <c r="B971" i="1"/>
  <c r="C971" i="1"/>
  <c r="B984" i="1"/>
  <c r="C984" i="1"/>
  <c r="B997" i="1"/>
  <c r="C997" i="1"/>
  <c r="B1010" i="1"/>
  <c r="C1010" i="1"/>
  <c r="B1024" i="1"/>
  <c r="C1024" i="1"/>
  <c r="B1038" i="1"/>
  <c r="C1038" i="1"/>
  <c r="B1051" i="1"/>
  <c r="C1051" i="1"/>
  <c r="B1065" i="1"/>
  <c r="C1065" i="1"/>
  <c r="B1079" i="1"/>
  <c r="C1079" i="1"/>
  <c r="B836" i="1"/>
  <c r="C836" i="1"/>
  <c r="B847" i="1"/>
  <c r="C847" i="1"/>
  <c r="B859" i="1"/>
  <c r="C859" i="1"/>
  <c r="B874" i="1"/>
  <c r="C874" i="1"/>
  <c r="B886" i="1"/>
  <c r="C886" i="1"/>
  <c r="B901" i="1"/>
  <c r="C901" i="1"/>
  <c r="B913" i="1"/>
  <c r="C913" i="1"/>
  <c r="B925" i="1"/>
  <c r="C925" i="1"/>
  <c r="B936" i="1"/>
  <c r="C936" i="1"/>
  <c r="B947" i="1"/>
  <c r="C947" i="1"/>
  <c r="B959" i="1"/>
  <c r="C959" i="1"/>
  <c r="B972" i="1"/>
  <c r="C972" i="1"/>
  <c r="B985" i="1"/>
  <c r="C985" i="1"/>
  <c r="B998" i="1"/>
  <c r="C998" i="1"/>
  <c r="B1011" i="1"/>
  <c r="C1011" i="1"/>
  <c r="B1025" i="1"/>
  <c r="C1025" i="1"/>
  <c r="B1039" i="1"/>
  <c r="C1039" i="1"/>
  <c r="B1052" i="1"/>
  <c r="C1052" i="1"/>
  <c r="B1066" i="1"/>
  <c r="C1066" i="1"/>
  <c r="B1080" i="1"/>
  <c r="C1080" i="1"/>
  <c r="B837" i="1"/>
  <c r="C837" i="1"/>
  <c r="B838" i="1"/>
  <c r="C838" i="1"/>
  <c r="B848" i="1"/>
  <c r="C848" i="1"/>
  <c r="B860" i="1"/>
  <c r="C860" i="1"/>
  <c r="B875" i="1"/>
  <c r="C875" i="1"/>
  <c r="B887" i="1"/>
  <c r="C887" i="1"/>
  <c r="B960" i="1"/>
  <c r="C960" i="1"/>
  <c r="B973" i="1"/>
  <c r="C973" i="1"/>
  <c r="B986" i="1"/>
  <c r="C986" i="1"/>
  <c r="B999" i="1"/>
  <c r="C999" i="1"/>
  <c r="B1012" i="1"/>
  <c r="C1012" i="1"/>
  <c r="B1026" i="1"/>
  <c r="C1026" i="1"/>
  <c r="B1040" i="1"/>
  <c r="C1040" i="1"/>
  <c r="B1053" i="1"/>
  <c r="C1053" i="1"/>
  <c r="B1067" i="1"/>
  <c r="C1067" i="1"/>
  <c r="B1081" i="1"/>
  <c r="C1081" i="1"/>
  <c r="B839" i="1"/>
  <c r="C839" i="1"/>
  <c r="B849" i="1"/>
  <c r="C849" i="1"/>
  <c r="B861" i="1"/>
  <c r="C861" i="1"/>
  <c r="B876" i="1"/>
  <c r="C876" i="1"/>
  <c r="B888" i="1"/>
  <c r="C888" i="1"/>
  <c r="B902" i="1"/>
  <c r="C902" i="1"/>
  <c r="B914" i="1"/>
  <c r="C914" i="1"/>
  <c r="B974" i="1"/>
  <c r="C974" i="1"/>
  <c r="B987" i="1"/>
  <c r="C987" i="1"/>
  <c r="B1013" i="1"/>
  <c r="C1013" i="1"/>
  <c r="B1027" i="1"/>
  <c r="C1027" i="1"/>
  <c r="B1041" i="1"/>
  <c r="C1041" i="1"/>
  <c r="B1054" i="1"/>
  <c r="C1054" i="1"/>
  <c r="B1068" i="1"/>
  <c r="C1068" i="1"/>
  <c r="B1082" i="1"/>
  <c r="C1082" i="1"/>
  <c r="B840" i="1"/>
  <c r="C840" i="1"/>
  <c r="B850" i="1"/>
  <c r="C850" i="1"/>
  <c r="B862" i="1"/>
  <c r="C862" i="1"/>
  <c r="B877" i="1"/>
  <c r="C877" i="1"/>
  <c r="B889" i="1"/>
  <c r="C889" i="1"/>
  <c r="B863" i="1"/>
  <c r="C863" i="1"/>
  <c r="B878" i="1"/>
  <c r="C878" i="1"/>
  <c r="B890" i="1"/>
  <c r="C890" i="1"/>
  <c r="B903" i="1"/>
  <c r="C903" i="1"/>
  <c r="B915" i="1"/>
  <c r="C915" i="1"/>
  <c r="B926" i="1"/>
  <c r="C926" i="1"/>
  <c r="B937" i="1"/>
  <c r="C937" i="1"/>
  <c r="B948" i="1"/>
  <c r="C948" i="1"/>
  <c r="B961" i="1"/>
  <c r="C961" i="1"/>
  <c r="B975" i="1"/>
  <c r="C975" i="1"/>
  <c r="B988" i="1"/>
  <c r="C988" i="1"/>
  <c r="B1000" i="1"/>
  <c r="C1000" i="1"/>
  <c r="B1014" i="1"/>
  <c r="C1014" i="1"/>
  <c r="B1028" i="1"/>
  <c r="C1028" i="1"/>
  <c r="B1042" i="1"/>
  <c r="C1042" i="1"/>
  <c r="B1055" i="1"/>
  <c r="C1055" i="1"/>
  <c r="B1069" i="1"/>
  <c r="C1069" i="1"/>
  <c r="B1083" i="1"/>
  <c r="C1083" i="1"/>
  <c r="F21" i="2"/>
  <c r="F17" i="2"/>
  <c r="I820" i="1"/>
  <c r="L820" i="1" s="1"/>
  <c r="I821" i="1"/>
  <c r="L821" i="1" s="1"/>
  <c r="I822" i="1"/>
  <c r="M822" i="1" s="1"/>
  <c r="I823" i="1"/>
  <c r="L823" i="1" s="1"/>
  <c r="I824" i="1"/>
  <c r="N824" i="1" s="1"/>
  <c r="I825" i="1"/>
  <c r="L825" i="1" s="1"/>
  <c r="I826" i="1"/>
  <c r="K826" i="1" s="1"/>
  <c r="I827" i="1"/>
  <c r="L827" i="1" s="1"/>
  <c r="I828" i="1"/>
  <c r="N828" i="1" s="1"/>
  <c r="I829" i="1"/>
  <c r="L829" i="1" s="1"/>
  <c r="I830" i="1"/>
  <c r="N830" i="1" s="1"/>
  <c r="C820" i="1"/>
  <c r="C821" i="1"/>
  <c r="C822" i="1"/>
  <c r="C823" i="1"/>
  <c r="C824" i="1"/>
  <c r="C825" i="1"/>
  <c r="C826" i="1"/>
  <c r="C827" i="1"/>
  <c r="C828" i="1"/>
  <c r="C829" i="1"/>
  <c r="C830" i="1"/>
  <c r="B820" i="1"/>
  <c r="B821" i="1"/>
  <c r="B822" i="1"/>
  <c r="B823" i="1"/>
  <c r="B824" i="1"/>
  <c r="B825" i="1"/>
  <c r="B826" i="1"/>
  <c r="B827" i="1"/>
  <c r="B828" i="1"/>
  <c r="B829" i="1"/>
  <c r="B830" i="1"/>
  <c r="I785" i="1"/>
  <c r="N785" i="1" s="1"/>
  <c r="I808" i="1"/>
  <c r="K808" i="1" s="1"/>
  <c r="I786" i="1"/>
  <c r="L786" i="1" s="1"/>
  <c r="I797" i="1"/>
  <c r="N797" i="1" s="1"/>
  <c r="I809" i="1"/>
  <c r="M809" i="1" s="1"/>
  <c r="I787" i="1"/>
  <c r="K787" i="1" s="1"/>
  <c r="I798" i="1"/>
  <c r="L798" i="1" s="1"/>
  <c r="I810" i="1"/>
  <c r="N810" i="1" s="1"/>
  <c r="I788" i="1"/>
  <c r="M788" i="1" s="1"/>
  <c r="I799" i="1"/>
  <c r="L799" i="1" s="1"/>
  <c r="I811" i="1"/>
  <c r="L811" i="1" s="1"/>
  <c r="I789" i="1"/>
  <c r="N789" i="1" s="1"/>
  <c r="I800" i="1"/>
  <c r="L800" i="1" s="1"/>
  <c r="I812" i="1"/>
  <c r="L812" i="1" s="1"/>
  <c r="I790" i="1"/>
  <c r="K790" i="1" s="1"/>
  <c r="I801" i="1"/>
  <c r="M801" i="1" s="1"/>
  <c r="I813" i="1"/>
  <c r="K813" i="1" s="1"/>
  <c r="I791" i="1"/>
  <c r="K791" i="1" s="1"/>
  <c r="I802" i="1"/>
  <c r="M802" i="1" s="1"/>
  <c r="I792" i="1"/>
  <c r="K792" i="1" s="1"/>
  <c r="I803" i="1"/>
  <c r="K803" i="1" s="1"/>
  <c r="I814" i="1"/>
  <c r="L814" i="1" s="1"/>
  <c r="I793" i="1"/>
  <c r="M793" i="1" s="1"/>
  <c r="I804" i="1"/>
  <c r="M804" i="1" s="1"/>
  <c r="I815" i="1"/>
  <c r="L815" i="1" s="1"/>
  <c r="I816" i="1"/>
  <c r="M816" i="1" s="1"/>
  <c r="I794" i="1"/>
  <c r="K794" i="1" s="1"/>
  <c r="I805" i="1"/>
  <c r="L805" i="1" s="1"/>
  <c r="I817" i="1"/>
  <c r="L817" i="1" s="1"/>
  <c r="I795" i="1"/>
  <c r="L795" i="1" s="1"/>
  <c r="I806" i="1"/>
  <c r="K806" i="1" s="1"/>
  <c r="I818" i="1"/>
  <c r="K818" i="1" s="1"/>
  <c r="I796" i="1"/>
  <c r="M796" i="1" s="1"/>
  <c r="I807" i="1"/>
  <c r="M807" i="1" s="1"/>
  <c r="I819" i="1"/>
  <c r="N819" i="1" s="1"/>
  <c r="B785" i="1"/>
  <c r="C785" i="1"/>
  <c r="B808" i="1"/>
  <c r="C808" i="1"/>
  <c r="B786" i="1"/>
  <c r="C786" i="1"/>
  <c r="B797" i="1"/>
  <c r="C797" i="1"/>
  <c r="B809" i="1"/>
  <c r="C809" i="1"/>
  <c r="B787" i="1"/>
  <c r="C787" i="1"/>
  <c r="B798" i="1"/>
  <c r="C798" i="1"/>
  <c r="B810" i="1"/>
  <c r="C810" i="1"/>
  <c r="B788" i="1"/>
  <c r="C788" i="1"/>
  <c r="B799" i="1"/>
  <c r="C799" i="1"/>
  <c r="B811" i="1"/>
  <c r="C811" i="1"/>
  <c r="B789" i="1"/>
  <c r="C789" i="1"/>
  <c r="B800" i="1"/>
  <c r="C800" i="1"/>
  <c r="B812" i="1"/>
  <c r="C812" i="1"/>
  <c r="B790" i="1"/>
  <c r="C790" i="1"/>
  <c r="B801" i="1"/>
  <c r="C801" i="1"/>
  <c r="B813" i="1"/>
  <c r="C813" i="1"/>
  <c r="B791" i="1"/>
  <c r="C791" i="1"/>
  <c r="B802" i="1"/>
  <c r="C802" i="1"/>
  <c r="B792" i="1"/>
  <c r="C792" i="1"/>
  <c r="B803" i="1"/>
  <c r="C803" i="1"/>
  <c r="B814" i="1"/>
  <c r="C814" i="1"/>
  <c r="B793" i="1"/>
  <c r="C793" i="1"/>
  <c r="B804" i="1"/>
  <c r="C804" i="1"/>
  <c r="B815" i="1"/>
  <c r="C815" i="1"/>
  <c r="B816" i="1"/>
  <c r="C816" i="1"/>
  <c r="B794" i="1"/>
  <c r="C794" i="1"/>
  <c r="B805" i="1"/>
  <c r="C805" i="1"/>
  <c r="B817" i="1"/>
  <c r="C817" i="1"/>
  <c r="B795" i="1"/>
  <c r="C795" i="1"/>
  <c r="B806" i="1"/>
  <c r="C806" i="1"/>
  <c r="B818" i="1"/>
  <c r="C818" i="1"/>
  <c r="B796" i="1"/>
  <c r="C796" i="1"/>
  <c r="B807" i="1"/>
  <c r="C807" i="1"/>
  <c r="B819" i="1"/>
  <c r="C819" i="1"/>
  <c r="K1141" i="1" l="1"/>
  <c r="K1131" i="1"/>
  <c r="M1131" i="1"/>
  <c r="M1128" i="1"/>
  <c r="M1158" i="1"/>
  <c r="N1151" i="1"/>
  <c r="K1128" i="1"/>
  <c r="M1134" i="1"/>
  <c r="K1134" i="1"/>
  <c r="N1168" i="1"/>
  <c r="M1164" i="1"/>
  <c r="M1155" i="1"/>
  <c r="N1164" i="1"/>
  <c r="N1139" i="1"/>
  <c r="M1139" i="1"/>
  <c r="N1160" i="1"/>
  <c r="M1163" i="1"/>
  <c r="M1160" i="1"/>
  <c r="K1001" i="1"/>
  <c r="K1168" i="1"/>
  <c r="M1150" i="1"/>
  <c r="K1148" i="1"/>
  <c r="M1156" i="1"/>
  <c r="K1167" i="1"/>
  <c r="K1158" i="1"/>
  <c r="N1152" i="1"/>
  <c r="M1141" i="1"/>
  <c r="M1152" i="1"/>
  <c r="K1132" i="1"/>
  <c r="L1129" i="1"/>
  <c r="N1169" i="1"/>
  <c r="M1151" i="1"/>
  <c r="M1169" i="1"/>
  <c r="M1167" i="1"/>
  <c r="K1136" i="1"/>
  <c r="K1159" i="1"/>
  <c r="N1157" i="1"/>
  <c r="M1157" i="1"/>
  <c r="N1165" i="1"/>
  <c r="N1163" i="1"/>
  <c r="K1147" i="1"/>
  <c r="N1148" i="1"/>
  <c r="N1133" i="1"/>
  <c r="N1159" i="1"/>
  <c r="M1138" i="1"/>
  <c r="M1133" i="1"/>
  <c r="M1144" i="1"/>
  <c r="K1150" i="1"/>
  <c r="N1142" i="1"/>
  <c r="N1129" i="1"/>
  <c r="M1142" i="1"/>
  <c r="K1166" i="1"/>
  <c r="K1137" i="1"/>
  <c r="N1135" i="1"/>
  <c r="N1132" i="1"/>
  <c r="M1135" i="1"/>
  <c r="M1147" i="1"/>
  <c r="L1130" i="1"/>
  <c r="N1140" i="1"/>
  <c r="M1165" i="1"/>
  <c r="N1161" i="1"/>
  <c r="K1144" i="1"/>
  <c r="N1170" i="1"/>
  <c r="M1140" i="1"/>
  <c r="N1149" i="1"/>
  <c r="M1161" i="1"/>
  <c r="M1145" i="1"/>
  <c r="N1143" i="1"/>
  <c r="M1170" i="1"/>
  <c r="N1166" i="1"/>
  <c r="M1149" i="1"/>
  <c r="N1162" i="1"/>
  <c r="M1146" i="1"/>
  <c r="K1145" i="1"/>
  <c r="N1130" i="1"/>
  <c r="M1143" i="1"/>
  <c r="L1162" i="1"/>
  <c r="K1146" i="1"/>
  <c r="N1154" i="1"/>
  <c r="N1153" i="1"/>
  <c r="M1154" i="1"/>
  <c r="M1153" i="1"/>
  <c r="N1137" i="1"/>
  <c r="N1136" i="1"/>
  <c r="L1138" i="1"/>
  <c r="N1155" i="1"/>
  <c r="N1156" i="1"/>
  <c r="M1084" i="1"/>
  <c r="M1047" i="1"/>
  <c r="N1127" i="1"/>
  <c r="N964" i="1"/>
  <c r="M1118" i="1"/>
  <c r="M848" i="1"/>
  <c r="N885" i="1"/>
  <c r="L876" i="1"/>
  <c r="K1108" i="1"/>
  <c r="N1028" i="1"/>
  <c r="L1027" i="1"/>
  <c r="M1115" i="1"/>
  <c r="N884" i="1"/>
  <c r="K1124" i="1"/>
  <c r="N1119" i="1"/>
  <c r="M1119" i="1"/>
  <c r="M923" i="1"/>
  <c r="M1109" i="1"/>
  <c r="M1127" i="1"/>
  <c r="M1123" i="1"/>
  <c r="N1113" i="1"/>
  <c r="K1123" i="1"/>
  <c r="M1113" i="1"/>
  <c r="N1112" i="1"/>
  <c r="N1126" i="1"/>
  <c r="N1122" i="1"/>
  <c r="K1118" i="1"/>
  <c r="M1112" i="1"/>
  <c r="M1102" i="1"/>
  <c r="M1126" i="1"/>
  <c r="M1122" i="1"/>
  <c r="N1116" i="1"/>
  <c r="N1125" i="1"/>
  <c r="K1116" i="1"/>
  <c r="N1076" i="1"/>
  <c r="M1096" i="1"/>
  <c r="M1125" i="1"/>
  <c r="M1120" i="1"/>
  <c r="N1106" i="1"/>
  <c r="M935" i="1"/>
  <c r="M1106" i="1"/>
  <c r="L979" i="1"/>
  <c r="K1109" i="1"/>
  <c r="M1105" i="1"/>
  <c r="K1120" i="1"/>
  <c r="N893" i="1"/>
  <c r="M953" i="1"/>
  <c r="M980" i="1"/>
  <c r="N844" i="1"/>
  <c r="L867" i="1"/>
  <c r="L865" i="1"/>
  <c r="M1041" i="1"/>
  <c r="M1028" i="1"/>
  <c r="M1034" i="1"/>
  <c r="L940" i="1"/>
  <c r="N1063" i="1"/>
  <c r="L953" i="1"/>
  <c r="N1105" i="1"/>
  <c r="M1121" i="1"/>
  <c r="N1108" i="1"/>
  <c r="K1121" i="1"/>
  <c r="M1117" i="1"/>
  <c r="N913" i="1"/>
  <c r="M1124" i="1"/>
  <c r="K1117" i="1"/>
  <c r="M968" i="1"/>
  <c r="M835" i="1"/>
  <c r="L977" i="1"/>
  <c r="L974" i="1"/>
  <c r="N1050" i="1"/>
  <c r="M880" i="1"/>
  <c r="N842" i="1"/>
  <c r="M1015" i="1"/>
  <c r="M842" i="1"/>
  <c r="M1026" i="1"/>
  <c r="L1026" i="1"/>
  <c r="N947" i="1"/>
  <c r="N960" i="1"/>
  <c r="M1010" i="1"/>
  <c r="M1063" i="1"/>
  <c r="N896" i="1"/>
  <c r="M854" i="1"/>
  <c r="N1053" i="1"/>
  <c r="L914" i="1"/>
  <c r="L981" i="1"/>
  <c r="L952" i="1"/>
  <c r="M853" i="1"/>
  <c r="N1114" i="1"/>
  <c r="N887" i="1"/>
  <c r="L912" i="1"/>
  <c r="M899" i="1"/>
  <c r="M1008" i="1"/>
  <c r="N962" i="1"/>
  <c r="N1102" i="1"/>
  <c r="M1114" i="1"/>
  <c r="M1027" i="1"/>
  <c r="L1012" i="1"/>
  <c r="N848" i="1"/>
  <c r="M885" i="1"/>
  <c r="M1059" i="1"/>
  <c r="N940" i="1"/>
  <c r="M963" i="1"/>
  <c r="K1096" i="1"/>
  <c r="L862" i="1"/>
  <c r="N999" i="1"/>
  <c r="N972" i="1"/>
  <c r="N873" i="1"/>
  <c r="M922" i="1"/>
  <c r="M918" i="1"/>
  <c r="L1015" i="1"/>
  <c r="M1107" i="1"/>
  <c r="N1090" i="1"/>
  <c r="N1100" i="1"/>
  <c r="M1057" i="1"/>
  <c r="L1115" i="1"/>
  <c r="M937" i="1"/>
  <c r="L850" i="1"/>
  <c r="M946" i="1"/>
  <c r="M909" i="1"/>
  <c r="N905" i="1"/>
  <c r="L1057" i="1"/>
  <c r="N1092" i="1"/>
  <c r="N1111" i="1"/>
  <c r="K1093" i="1"/>
  <c r="M1087" i="1"/>
  <c r="M1085" i="1"/>
  <c r="L1110" i="1"/>
  <c r="M891" i="1"/>
  <c r="N1000" i="1"/>
  <c r="M926" i="1"/>
  <c r="M1024" i="1"/>
  <c r="M970" i="1"/>
  <c r="M1076" i="1"/>
  <c r="L891" i="1"/>
  <c r="M1111" i="1"/>
  <c r="N1103" i="1"/>
  <c r="K1087" i="1"/>
  <c r="L1095" i="1"/>
  <c r="M1103" i="1"/>
  <c r="N1099" i="1"/>
  <c r="M1069" i="1"/>
  <c r="M988" i="1"/>
  <c r="M1025" i="1"/>
  <c r="L947" i="1"/>
  <c r="N1010" i="1"/>
  <c r="M1050" i="1"/>
  <c r="N957" i="1"/>
  <c r="M884" i="1"/>
  <c r="N1008" i="1"/>
  <c r="L923" i="1"/>
  <c r="M1062" i="1"/>
  <c r="M856" i="1"/>
  <c r="N1006" i="1"/>
  <c r="M844" i="1"/>
  <c r="N992" i="1"/>
  <c r="M964" i="1"/>
  <c r="L963" i="1"/>
  <c r="M1056" i="1"/>
  <c r="M962" i="1"/>
  <c r="M1101" i="1"/>
  <c r="M1099" i="1"/>
  <c r="L1092" i="1"/>
  <c r="N840" i="1"/>
  <c r="N847" i="1"/>
  <c r="M992" i="1"/>
  <c r="K1051" i="1"/>
  <c r="M1094" i="1"/>
  <c r="L1090" i="1"/>
  <c r="M1055" i="1"/>
  <c r="M975" i="1"/>
  <c r="L890" i="1"/>
  <c r="M840" i="1"/>
  <c r="N1081" i="1"/>
  <c r="L936" i="1"/>
  <c r="M847" i="1"/>
  <c r="M1048" i="1"/>
  <c r="N993" i="1"/>
  <c r="M921" i="1"/>
  <c r="L834" i="1"/>
  <c r="M852" i="1"/>
  <c r="N1016" i="1"/>
  <c r="N949" i="1"/>
  <c r="M1088" i="1"/>
  <c r="N1086" i="1"/>
  <c r="N1098" i="1"/>
  <c r="L1086" i="1"/>
  <c r="M1081" i="1"/>
  <c r="N998" i="1"/>
  <c r="N1077" i="1"/>
  <c r="N995" i="1"/>
  <c r="M993" i="1"/>
  <c r="M1016" i="1"/>
  <c r="M1098" i="1"/>
  <c r="L878" i="1"/>
  <c r="M998" i="1"/>
  <c r="M1009" i="1"/>
  <c r="L924" i="1"/>
  <c r="M1077" i="1"/>
  <c r="M995" i="1"/>
  <c r="L883" i="1"/>
  <c r="M1035" i="1"/>
  <c r="N922" i="1"/>
  <c r="N1059" i="1"/>
  <c r="M979" i="1"/>
  <c r="L919" i="1"/>
  <c r="M929" i="1"/>
  <c r="N917" i="1"/>
  <c r="M1104" i="1"/>
  <c r="M851" i="1"/>
  <c r="N937" i="1"/>
  <c r="L837" i="1"/>
  <c r="M913" i="1"/>
  <c r="M873" i="1"/>
  <c r="N996" i="1"/>
  <c r="N911" i="1"/>
  <c r="N980" i="1"/>
  <c r="M896" i="1"/>
  <c r="L1046" i="1"/>
  <c r="N918" i="1"/>
  <c r="N916" i="1"/>
  <c r="N1095" i="1"/>
  <c r="N1089" i="1"/>
  <c r="M1100" i="1"/>
  <c r="M1097" i="1"/>
  <c r="N1093" i="1"/>
  <c r="M1091" i="1"/>
  <c r="M1089" i="1"/>
  <c r="M841" i="1"/>
  <c r="L1041" i="1"/>
  <c r="M972" i="1"/>
  <c r="M901" i="1"/>
  <c r="M1038" i="1"/>
  <c r="M983" i="1"/>
  <c r="N899" i="1"/>
  <c r="L956" i="1"/>
  <c r="L1033" i="1"/>
  <c r="N1032" i="1"/>
  <c r="M952" i="1"/>
  <c r="N880" i="1"/>
  <c r="N1071" i="1"/>
  <c r="M977" i="1"/>
  <c r="M865" i="1"/>
  <c r="N1097" i="1"/>
  <c r="N1110" i="1"/>
  <c r="N1094" i="1"/>
  <c r="N1107" i="1"/>
  <c r="N1091" i="1"/>
  <c r="N1104" i="1"/>
  <c r="N1088" i="1"/>
  <c r="N1101" i="1"/>
  <c r="N1085" i="1"/>
  <c r="N1084" i="1"/>
  <c r="N1055" i="1"/>
  <c r="N988" i="1"/>
  <c r="N926" i="1"/>
  <c r="M878" i="1"/>
  <c r="M914" i="1"/>
  <c r="M861" i="1"/>
  <c r="L960" i="1"/>
  <c r="N1025" i="1"/>
  <c r="N901" i="1"/>
  <c r="N946" i="1"/>
  <c r="M871" i="1"/>
  <c r="N968" i="1"/>
  <c r="N909" i="1"/>
  <c r="N835" i="1"/>
  <c r="M1020" i="1"/>
  <c r="N967" i="1"/>
  <c r="M1033" i="1"/>
  <c r="N854" i="1"/>
  <c r="M1017" i="1"/>
  <c r="M951" i="1"/>
  <c r="M905" i="1"/>
  <c r="L1002" i="1"/>
  <c r="L928" i="1"/>
  <c r="N1001" i="1"/>
  <c r="M949" i="1"/>
  <c r="K1036" i="1"/>
  <c r="N853" i="1"/>
  <c r="L1017" i="1"/>
  <c r="L951" i="1"/>
  <c r="N1056" i="1"/>
  <c r="K1042" i="1"/>
  <c r="K871" i="1"/>
  <c r="K975" i="1"/>
  <c r="K1007" i="1"/>
  <c r="N841" i="1"/>
  <c r="N915" i="1"/>
  <c r="M902" i="1"/>
  <c r="N1011" i="1"/>
  <c r="N886" i="1"/>
  <c r="N1065" i="1"/>
  <c r="N935" i="1"/>
  <c r="N1009" i="1"/>
  <c r="N945" i="1"/>
  <c r="L846" i="1"/>
  <c r="N1021" i="1"/>
  <c r="N955" i="1"/>
  <c r="N942" i="1"/>
  <c r="N1074" i="1"/>
  <c r="L1019" i="1"/>
  <c r="N920" i="1"/>
  <c r="N843" i="1"/>
  <c r="M1032" i="1"/>
  <c r="N906" i="1"/>
  <c r="N1003" i="1"/>
  <c r="N939" i="1"/>
  <c r="M893" i="1"/>
  <c r="M917" i="1"/>
  <c r="M927" i="1"/>
  <c r="K961" i="1"/>
  <c r="K994" i="1"/>
  <c r="N1013" i="1"/>
  <c r="N1080" i="1"/>
  <c r="M1065" i="1"/>
  <c r="N1049" i="1"/>
  <c r="L982" i="1"/>
  <c r="M1021" i="1"/>
  <c r="M955" i="1"/>
  <c r="N882" i="1"/>
  <c r="M1061" i="1"/>
  <c r="M942" i="1"/>
  <c r="N881" i="1"/>
  <c r="M1074" i="1"/>
  <c r="M920" i="1"/>
  <c r="M906" i="1"/>
  <c r="M1072" i="1"/>
  <c r="M1003" i="1"/>
  <c r="M939" i="1"/>
  <c r="L989" i="1"/>
  <c r="K948" i="1"/>
  <c r="L903" i="1"/>
  <c r="N877" i="1"/>
  <c r="M1013" i="1"/>
  <c r="L888" i="1"/>
  <c r="N860" i="1"/>
  <c r="M1080" i="1"/>
  <c r="L997" i="1"/>
  <c r="L1078" i="1"/>
  <c r="N934" i="1"/>
  <c r="M1049" i="1"/>
  <c r="N898" i="1"/>
  <c r="M882" i="1"/>
  <c r="N833" i="1"/>
  <c r="L866" i="1"/>
  <c r="K915" i="1"/>
  <c r="K943" i="1"/>
  <c r="M877" i="1"/>
  <c r="N1068" i="1"/>
  <c r="M860" i="1"/>
  <c r="N859" i="1"/>
  <c r="M934" i="1"/>
  <c r="N1007" i="1"/>
  <c r="N869" i="1"/>
  <c r="N966" i="1"/>
  <c r="N907" i="1"/>
  <c r="M833" i="1"/>
  <c r="N1058" i="1"/>
  <c r="M1029" i="1"/>
  <c r="M976" i="1"/>
  <c r="M916" i="1"/>
  <c r="K861" i="1"/>
  <c r="K1020" i="1"/>
  <c r="N1083" i="1"/>
  <c r="N890" i="1"/>
  <c r="M1068" i="1"/>
  <c r="N876" i="1"/>
  <c r="N1066" i="1"/>
  <c r="M859" i="1"/>
  <c r="N984" i="1"/>
  <c r="N1064" i="1"/>
  <c r="N956" i="1"/>
  <c r="N883" i="1"/>
  <c r="M933" i="1"/>
  <c r="N932" i="1"/>
  <c r="M869" i="1"/>
  <c r="L1060" i="1"/>
  <c r="M966" i="1"/>
  <c r="M907" i="1"/>
  <c r="M1058" i="1"/>
  <c r="N852" i="1"/>
  <c r="N892" i="1"/>
  <c r="L1029" i="1"/>
  <c r="M1083" i="1"/>
  <c r="L1014" i="1"/>
  <c r="M974" i="1"/>
  <c r="M1066" i="1"/>
  <c r="M985" i="1"/>
  <c r="N1038" i="1"/>
  <c r="M984" i="1"/>
  <c r="L900" i="1"/>
  <c r="M1064" i="1"/>
  <c r="N983" i="1"/>
  <c r="N872" i="1"/>
  <c r="L1022" i="1"/>
  <c r="N1062" i="1"/>
  <c r="N856" i="1"/>
  <c r="N1034" i="1"/>
  <c r="M932" i="1"/>
  <c r="K941" i="1"/>
  <c r="L889" i="1"/>
  <c r="L986" i="1"/>
  <c r="N864" i="1"/>
  <c r="N1014" i="1"/>
  <c r="N961" i="1"/>
  <c r="L863" i="1"/>
  <c r="N850" i="1"/>
  <c r="N1054" i="1"/>
  <c r="M1053" i="1"/>
  <c r="M999" i="1"/>
  <c r="M887" i="1"/>
  <c r="N838" i="1"/>
  <c r="L1052" i="1"/>
  <c r="N936" i="1"/>
  <c r="M886" i="1"/>
  <c r="M836" i="1"/>
  <c r="N912" i="1"/>
  <c r="N858" i="1"/>
  <c r="L1037" i="1"/>
  <c r="N924" i="1"/>
  <c r="N994" i="1"/>
  <c r="N1075" i="1"/>
  <c r="N1019" i="1"/>
  <c r="N941" i="1"/>
  <c r="N919" i="1"/>
  <c r="N867" i="1"/>
  <c r="N1044" i="1"/>
  <c r="N991" i="1"/>
  <c r="M1071" i="1"/>
  <c r="N1002" i="1"/>
  <c r="M892" i="1"/>
  <c r="N1043" i="1"/>
  <c r="K875" i="1"/>
  <c r="K897" i="1"/>
  <c r="K1044" i="1"/>
  <c r="K857" i="1"/>
  <c r="K1073" i="1"/>
  <c r="K1067" i="1"/>
  <c r="K1040" i="1"/>
  <c r="K894" i="1"/>
  <c r="M864" i="1"/>
  <c r="N1069" i="1"/>
  <c r="M1054" i="1"/>
  <c r="N902" i="1"/>
  <c r="N985" i="1"/>
  <c r="N1024" i="1"/>
  <c r="N970" i="1"/>
  <c r="N1048" i="1"/>
  <c r="N933" i="1"/>
  <c r="M1075" i="1"/>
  <c r="N855" i="1"/>
  <c r="N868" i="1"/>
  <c r="N1018" i="1"/>
  <c r="M991" i="1"/>
  <c r="M866" i="1"/>
  <c r="M1043" i="1"/>
  <c r="L839" i="1"/>
  <c r="N1040" i="1"/>
  <c r="N1078" i="1"/>
  <c r="N1022" i="1"/>
  <c r="N910" i="1"/>
  <c r="N857" i="1"/>
  <c r="N870" i="1"/>
  <c r="N954" i="1"/>
  <c r="N908" i="1"/>
  <c r="M855" i="1"/>
  <c r="N1060" i="1"/>
  <c r="M868" i="1"/>
  <c r="N1073" i="1"/>
  <c r="M1018" i="1"/>
  <c r="N928" i="1"/>
  <c r="N989" i="1"/>
  <c r="N938" i="1"/>
  <c r="K969" i="1"/>
  <c r="L987" i="1"/>
  <c r="N889" i="1"/>
  <c r="N987" i="1"/>
  <c r="N839" i="1"/>
  <c r="N986" i="1"/>
  <c r="N837" i="1"/>
  <c r="N1039" i="1"/>
  <c r="M874" i="1"/>
  <c r="N1079" i="1"/>
  <c r="N971" i="1"/>
  <c r="N1023" i="1"/>
  <c r="N969" i="1"/>
  <c r="N851" i="1"/>
  <c r="M1039" i="1"/>
  <c r="L874" i="1"/>
  <c r="M1079" i="1"/>
  <c r="M971" i="1"/>
  <c r="M1023" i="1"/>
  <c r="M910" i="1"/>
  <c r="M981" i="1"/>
  <c r="M870" i="1"/>
  <c r="N1061" i="1"/>
  <c r="M954" i="1"/>
  <c r="M908" i="1"/>
  <c r="M931" i="1"/>
  <c r="N1031" i="1"/>
  <c r="M938" i="1"/>
  <c r="K1070" i="1"/>
  <c r="K976" i="1"/>
  <c r="K978" i="1"/>
  <c r="K927" i="1"/>
  <c r="K1047" i="1"/>
  <c r="K836" i="1"/>
  <c r="K929" i="1"/>
  <c r="K1045" i="1"/>
  <c r="K1082" i="1"/>
  <c r="K957" i="1"/>
  <c r="N831" i="1"/>
  <c r="N1042" i="1"/>
  <c r="M1000" i="1"/>
  <c r="N948" i="1"/>
  <c r="N849" i="1"/>
  <c r="N1067" i="1"/>
  <c r="N973" i="1"/>
  <c r="N875" i="1"/>
  <c r="M838" i="1"/>
  <c r="M1011" i="1"/>
  <c r="N959" i="1"/>
  <c r="N925" i="1"/>
  <c r="N1051" i="1"/>
  <c r="N958" i="1"/>
  <c r="M858" i="1"/>
  <c r="M996" i="1"/>
  <c r="M945" i="1"/>
  <c r="M911" i="1"/>
  <c r="M872" i="1"/>
  <c r="N1036" i="1"/>
  <c r="N944" i="1"/>
  <c r="M898" i="1"/>
  <c r="N943" i="1"/>
  <c r="N897" i="1"/>
  <c r="N845" i="1"/>
  <c r="M1006" i="1"/>
  <c r="M967" i="1"/>
  <c r="M881" i="1"/>
  <c r="N895" i="1"/>
  <c r="M843" i="1"/>
  <c r="N1004" i="1"/>
  <c r="N965" i="1"/>
  <c r="N930" i="1"/>
  <c r="N894" i="1"/>
  <c r="M1031" i="1"/>
  <c r="N832" i="1"/>
  <c r="N1030" i="1"/>
  <c r="N990" i="1"/>
  <c r="N950" i="1"/>
  <c r="N904" i="1"/>
  <c r="N1070" i="1"/>
  <c r="K958" i="1"/>
  <c r="M831" i="1"/>
  <c r="N903" i="1"/>
  <c r="N863" i="1"/>
  <c r="N862" i="1"/>
  <c r="N1082" i="1"/>
  <c r="N888" i="1"/>
  <c r="M849" i="1"/>
  <c r="N1012" i="1"/>
  <c r="M973" i="1"/>
  <c r="N1052" i="1"/>
  <c r="M959" i="1"/>
  <c r="M925" i="1"/>
  <c r="N997" i="1"/>
  <c r="N900" i="1"/>
  <c r="N1037" i="1"/>
  <c r="N982" i="1"/>
  <c r="M944" i="1"/>
  <c r="N846" i="1"/>
  <c r="M845" i="1"/>
  <c r="N834" i="1"/>
  <c r="N1046" i="1"/>
  <c r="N1005" i="1"/>
  <c r="M895" i="1"/>
  <c r="N1045" i="1"/>
  <c r="M1004" i="1"/>
  <c r="M965" i="1"/>
  <c r="M930" i="1"/>
  <c r="N978" i="1"/>
  <c r="M832" i="1"/>
  <c r="M1030" i="1"/>
  <c r="M990" i="1"/>
  <c r="M950" i="1"/>
  <c r="M904" i="1"/>
  <c r="K1035" i="1"/>
  <c r="K1072" i="1"/>
  <c r="K931" i="1"/>
  <c r="K921" i="1"/>
  <c r="M1005" i="1"/>
  <c r="N879" i="1"/>
  <c r="M879" i="1"/>
  <c r="N827" i="1"/>
  <c r="L824" i="1"/>
  <c r="M827" i="1"/>
  <c r="N826" i="1"/>
  <c r="M826" i="1"/>
  <c r="N825" i="1"/>
  <c r="M825" i="1"/>
  <c r="M824" i="1"/>
  <c r="N823" i="1"/>
  <c r="M828" i="1"/>
  <c r="M823" i="1"/>
  <c r="L828" i="1"/>
  <c r="M830" i="1"/>
  <c r="N821" i="1"/>
  <c r="L830" i="1"/>
  <c r="M821" i="1"/>
  <c r="N829" i="1"/>
  <c r="M829" i="1"/>
  <c r="N820" i="1"/>
  <c r="M820" i="1"/>
  <c r="K822" i="1"/>
  <c r="N822" i="1"/>
  <c r="M791" i="1"/>
  <c r="M815" i="1"/>
  <c r="K815" i="1"/>
  <c r="N790" i="1"/>
  <c r="N795" i="1"/>
  <c r="M795" i="1"/>
  <c r="N803" i="1"/>
  <c r="M803" i="1"/>
  <c r="M819" i="1"/>
  <c r="N792" i="1"/>
  <c r="N811" i="1"/>
  <c r="N807" i="1"/>
  <c r="N815" i="1"/>
  <c r="M811" i="1"/>
  <c r="N808" i="1"/>
  <c r="K804" i="1"/>
  <c r="M808" i="1"/>
  <c r="N817" i="1"/>
  <c r="M817" i="1"/>
  <c r="K785" i="1"/>
  <c r="N814" i="1"/>
  <c r="N813" i="1"/>
  <c r="N805" i="1"/>
  <c r="M814" i="1"/>
  <c r="M813" i="1"/>
  <c r="N804" i="1"/>
  <c r="N798" i="1"/>
  <c r="M798" i="1"/>
  <c r="M785" i="1"/>
  <c r="N818" i="1"/>
  <c r="N787" i="1"/>
  <c r="M818" i="1"/>
  <c r="N794" i="1"/>
  <c r="N793" i="1"/>
  <c r="K802" i="1"/>
  <c r="M789" i="1"/>
  <c r="M787" i="1"/>
  <c r="K793" i="1"/>
  <c r="M794" i="1"/>
  <c r="M790" i="1"/>
  <c r="N799" i="1"/>
  <c r="L819" i="1"/>
  <c r="M799" i="1"/>
  <c r="M797" i="1"/>
  <c r="L807" i="1"/>
  <c r="N806" i="1"/>
  <c r="M806" i="1"/>
  <c r="N812" i="1"/>
  <c r="N786" i="1"/>
  <c r="N791" i="1"/>
  <c r="M812" i="1"/>
  <c r="M786" i="1"/>
  <c r="L789" i="1"/>
  <c r="L788" i="1"/>
  <c r="M805" i="1"/>
  <c r="L810" i="1"/>
  <c r="L809" i="1"/>
  <c r="L816" i="1"/>
  <c r="L797" i="1"/>
  <c r="M792" i="1"/>
  <c r="N800" i="1"/>
  <c r="N788" i="1"/>
  <c r="N809" i="1"/>
  <c r="M800" i="1"/>
  <c r="L801" i="1"/>
  <c r="L796" i="1"/>
  <c r="N796" i="1"/>
  <c r="N816" i="1"/>
  <c r="N802" i="1"/>
  <c r="N801" i="1"/>
  <c r="M810" i="1"/>
  <c r="I760" i="1" l="1"/>
  <c r="L760" i="1" s="1"/>
  <c r="I772" i="1"/>
  <c r="L772" i="1" s="1"/>
  <c r="I773" i="1"/>
  <c r="L773" i="1" s="1"/>
  <c r="I761" i="1"/>
  <c r="K761" i="1" s="1"/>
  <c r="I774" i="1"/>
  <c r="K774" i="1" s="1"/>
  <c r="I762" i="1"/>
  <c r="M762" i="1" s="1"/>
  <c r="I775" i="1"/>
  <c r="M775" i="1" s="1"/>
  <c r="I763" i="1"/>
  <c r="L763" i="1" s="1"/>
  <c r="I776" i="1"/>
  <c r="M776" i="1" s="1"/>
  <c r="I764" i="1"/>
  <c r="M764" i="1" s="1"/>
  <c r="I777" i="1"/>
  <c r="K777" i="1" s="1"/>
  <c r="I765" i="1"/>
  <c r="K765" i="1" s="1"/>
  <c r="I778" i="1"/>
  <c r="K778" i="1" s="1"/>
  <c r="I766" i="1"/>
  <c r="L766" i="1" s="1"/>
  <c r="I779" i="1"/>
  <c r="M779" i="1" s="1"/>
  <c r="I767" i="1"/>
  <c r="K767" i="1" s="1"/>
  <c r="I780" i="1"/>
  <c r="K780" i="1" s="1"/>
  <c r="I768" i="1"/>
  <c r="K768" i="1" s="1"/>
  <c r="I781" i="1"/>
  <c r="N781" i="1" s="1"/>
  <c r="I769" i="1"/>
  <c r="K769" i="1" s="1"/>
  <c r="I782" i="1"/>
  <c r="L782" i="1" s="1"/>
  <c r="I770" i="1"/>
  <c r="K770" i="1" s="1"/>
  <c r="I783" i="1"/>
  <c r="K783" i="1" s="1"/>
  <c r="I771" i="1"/>
  <c r="L771" i="1" s="1"/>
  <c r="I784" i="1"/>
  <c r="M784" i="1" s="1"/>
  <c r="B776" i="1"/>
  <c r="C776" i="1"/>
  <c r="B764" i="1"/>
  <c r="C764" i="1"/>
  <c r="B777" i="1"/>
  <c r="C777" i="1"/>
  <c r="B765" i="1"/>
  <c r="C765" i="1"/>
  <c r="B778" i="1"/>
  <c r="C778" i="1"/>
  <c r="B766" i="1"/>
  <c r="C766" i="1"/>
  <c r="B779" i="1"/>
  <c r="C779" i="1"/>
  <c r="B767" i="1"/>
  <c r="C767" i="1"/>
  <c r="B780" i="1"/>
  <c r="C780" i="1"/>
  <c r="B768" i="1"/>
  <c r="C768" i="1"/>
  <c r="B781" i="1"/>
  <c r="C781" i="1"/>
  <c r="B769" i="1"/>
  <c r="C769" i="1"/>
  <c r="B782" i="1"/>
  <c r="C782" i="1"/>
  <c r="B770" i="1"/>
  <c r="C770" i="1"/>
  <c r="B783" i="1"/>
  <c r="C783" i="1"/>
  <c r="B771" i="1"/>
  <c r="C771" i="1"/>
  <c r="B784" i="1"/>
  <c r="C784" i="1"/>
  <c r="B760" i="1"/>
  <c r="C760" i="1"/>
  <c r="B772" i="1"/>
  <c r="C772" i="1"/>
  <c r="B773" i="1"/>
  <c r="C773" i="1"/>
  <c r="B761" i="1"/>
  <c r="C761" i="1"/>
  <c r="B774" i="1"/>
  <c r="C774" i="1"/>
  <c r="B762" i="1"/>
  <c r="C762" i="1"/>
  <c r="B775" i="1"/>
  <c r="C775" i="1"/>
  <c r="B763" i="1"/>
  <c r="C763" i="1"/>
  <c r="I747" i="1"/>
  <c r="L747" i="1" s="1"/>
  <c r="I748" i="1"/>
  <c r="L748" i="1" s="1"/>
  <c r="I749" i="1"/>
  <c r="K749" i="1" s="1"/>
  <c r="I750" i="1"/>
  <c r="L750" i="1" s="1"/>
  <c r="I751" i="1"/>
  <c r="L751" i="1" s="1"/>
  <c r="I752" i="1"/>
  <c r="K752" i="1" s="1"/>
  <c r="I753" i="1"/>
  <c r="M753" i="1" s="1"/>
  <c r="I754" i="1"/>
  <c r="M754" i="1" s="1"/>
  <c r="I755" i="1"/>
  <c r="K755" i="1" s="1"/>
  <c r="I756" i="1"/>
  <c r="K756" i="1" s="1"/>
  <c r="I757" i="1"/>
  <c r="M757" i="1" s="1"/>
  <c r="I758" i="1"/>
  <c r="L758" i="1" s="1"/>
  <c r="I759" i="1"/>
  <c r="M759" i="1" s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I684" i="1"/>
  <c r="N684" i="1" s="1"/>
  <c r="I697" i="1"/>
  <c r="N697" i="1" s="1"/>
  <c r="I710" i="1"/>
  <c r="M710" i="1" s="1"/>
  <c r="I723" i="1"/>
  <c r="M723" i="1" s="1"/>
  <c r="I735" i="1"/>
  <c r="N735" i="1" s="1"/>
  <c r="I685" i="1"/>
  <c r="L685" i="1" s="1"/>
  <c r="I698" i="1"/>
  <c r="L698" i="1" s="1"/>
  <c r="I711" i="1"/>
  <c r="N711" i="1" s="1"/>
  <c r="I736" i="1"/>
  <c r="L736" i="1" s="1"/>
  <c r="I686" i="1"/>
  <c r="K686" i="1" s="1"/>
  <c r="I699" i="1"/>
  <c r="K699" i="1" s="1"/>
  <c r="I712" i="1"/>
  <c r="M712" i="1" s="1"/>
  <c r="I724" i="1"/>
  <c r="K724" i="1" s="1"/>
  <c r="I737" i="1"/>
  <c r="K737" i="1" s="1"/>
  <c r="I687" i="1"/>
  <c r="M687" i="1" s="1"/>
  <c r="I700" i="1"/>
  <c r="K700" i="1" s="1"/>
  <c r="I713" i="1"/>
  <c r="L713" i="1" s="1"/>
  <c r="I725" i="1"/>
  <c r="K725" i="1" s="1"/>
  <c r="I738" i="1"/>
  <c r="M738" i="1" s="1"/>
  <c r="I688" i="1"/>
  <c r="K688" i="1" s="1"/>
  <c r="I701" i="1"/>
  <c r="M701" i="1" s="1"/>
  <c r="I714" i="1"/>
  <c r="K714" i="1" s="1"/>
  <c r="I726" i="1"/>
  <c r="M726" i="1" s="1"/>
  <c r="I739" i="1"/>
  <c r="L739" i="1" s="1"/>
  <c r="I689" i="1"/>
  <c r="M689" i="1" s="1"/>
  <c r="I702" i="1"/>
  <c r="K702" i="1" s="1"/>
  <c r="I715" i="1"/>
  <c r="N715" i="1" s="1"/>
  <c r="I727" i="1"/>
  <c r="M727" i="1" s="1"/>
  <c r="I740" i="1"/>
  <c r="K740" i="1" s="1"/>
  <c r="I690" i="1"/>
  <c r="N690" i="1" s="1"/>
  <c r="I703" i="1"/>
  <c r="M703" i="1" s="1"/>
  <c r="I716" i="1"/>
  <c r="K716" i="1" s="1"/>
  <c r="I728" i="1"/>
  <c r="K728" i="1" s="1"/>
  <c r="I741" i="1"/>
  <c r="M741" i="1" s="1"/>
  <c r="I691" i="1"/>
  <c r="N691" i="1" s="1"/>
  <c r="I704" i="1"/>
  <c r="M704" i="1" s="1"/>
  <c r="I717" i="1"/>
  <c r="L717" i="1" s="1"/>
  <c r="I729" i="1"/>
  <c r="M729" i="1" s="1"/>
  <c r="I742" i="1"/>
  <c r="M742" i="1" s="1"/>
  <c r="I692" i="1"/>
  <c r="M692" i="1" s="1"/>
  <c r="I705" i="1"/>
  <c r="K705" i="1" s="1"/>
  <c r="I718" i="1"/>
  <c r="L718" i="1" s="1"/>
  <c r="I730" i="1"/>
  <c r="L730" i="1" s="1"/>
  <c r="I743" i="1"/>
  <c r="N743" i="1" s="1"/>
  <c r="I693" i="1"/>
  <c r="N693" i="1" s="1"/>
  <c r="I706" i="1"/>
  <c r="M706" i="1" s="1"/>
  <c r="I719" i="1"/>
  <c r="K719" i="1" s="1"/>
  <c r="I731" i="1"/>
  <c r="K731" i="1" s="1"/>
  <c r="I744" i="1"/>
  <c r="N744" i="1" s="1"/>
  <c r="I694" i="1"/>
  <c r="K694" i="1" s="1"/>
  <c r="I707" i="1"/>
  <c r="K707" i="1" s="1"/>
  <c r="I720" i="1"/>
  <c r="K720" i="1" s="1"/>
  <c r="I732" i="1"/>
  <c r="N732" i="1" s="1"/>
  <c r="I695" i="1"/>
  <c r="M695" i="1" s="1"/>
  <c r="I708" i="1"/>
  <c r="M708" i="1" s="1"/>
  <c r="I721" i="1"/>
  <c r="K721" i="1" s="1"/>
  <c r="I733" i="1"/>
  <c r="M733" i="1" s="1"/>
  <c r="I745" i="1"/>
  <c r="L745" i="1" s="1"/>
  <c r="I696" i="1"/>
  <c r="K696" i="1" s="1"/>
  <c r="I709" i="1"/>
  <c r="K709" i="1" s="1"/>
  <c r="I722" i="1"/>
  <c r="K722" i="1" s="1"/>
  <c r="I734" i="1"/>
  <c r="L734" i="1" s="1"/>
  <c r="I746" i="1"/>
  <c r="L746" i="1" s="1"/>
  <c r="B684" i="1"/>
  <c r="C684" i="1"/>
  <c r="B697" i="1"/>
  <c r="C697" i="1"/>
  <c r="B710" i="1"/>
  <c r="C710" i="1"/>
  <c r="B723" i="1"/>
  <c r="C723" i="1"/>
  <c r="B735" i="1"/>
  <c r="C735" i="1"/>
  <c r="B685" i="1"/>
  <c r="C685" i="1"/>
  <c r="B698" i="1"/>
  <c r="C698" i="1"/>
  <c r="B711" i="1"/>
  <c r="C711" i="1"/>
  <c r="B736" i="1"/>
  <c r="C736" i="1"/>
  <c r="B686" i="1"/>
  <c r="C686" i="1"/>
  <c r="B699" i="1"/>
  <c r="C699" i="1"/>
  <c r="B712" i="1"/>
  <c r="C712" i="1"/>
  <c r="B724" i="1"/>
  <c r="C724" i="1"/>
  <c r="B737" i="1"/>
  <c r="C737" i="1"/>
  <c r="B687" i="1"/>
  <c r="C687" i="1"/>
  <c r="B700" i="1"/>
  <c r="C700" i="1"/>
  <c r="B713" i="1"/>
  <c r="C713" i="1"/>
  <c r="B725" i="1"/>
  <c r="C725" i="1"/>
  <c r="B738" i="1"/>
  <c r="C738" i="1"/>
  <c r="B688" i="1"/>
  <c r="C688" i="1"/>
  <c r="B701" i="1"/>
  <c r="C701" i="1"/>
  <c r="B714" i="1"/>
  <c r="C714" i="1"/>
  <c r="B726" i="1"/>
  <c r="C726" i="1"/>
  <c r="B739" i="1"/>
  <c r="C739" i="1"/>
  <c r="B689" i="1"/>
  <c r="C689" i="1"/>
  <c r="B702" i="1"/>
  <c r="C702" i="1"/>
  <c r="B715" i="1"/>
  <c r="C715" i="1"/>
  <c r="B727" i="1"/>
  <c r="C727" i="1"/>
  <c r="B740" i="1"/>
  <c r="C740" i="1"/>
  <c r="B690" i="1"/>
  <c r="C690" i="1"/>
  <c r="B703" i="1"/>
  <c r="C703" i="1"/>
  <c r="B716" i="1"/>
  <c r="C716" i="1"/>
  <c r="B728" i="1"/>
  <c r="C728" i="1"/>
  <c r="B741" i="1"/>
  <c r="C741" i="1"/>
  <c r="B691" i="1"/>
  <c r="C691" i="1"/>
  <c r="B704" i="1"/>
  <c r="C704" i="1"/>
  <c r="B717" i="1"/>
  <c r="C717" i="1"/>
  <c r="B729" i="1"/>
  <c r="C729" i="1"/>
  <c r="B742" i="1"/>
  <c r="C742" i="1"/>
  <c r="B692" i="1"/>
  <c r="C692" i="1"/>
  <c r="B705" i="1"/>
  <c r="C705" i="1"/>
  <c r="B718" i="1"/>
  <c r="C718" i="1"/>
  <c r="B730" i="1"/>
  <c r="C730" i="1"/>
  <c r="B743" i="1"/>
  <c r="C743" i="1"/>
  <c r="B693" i="1"/>
  <c r="C693" i="1"/>
  <c r="B706" i="1"/>
  <c r="C706" i="1"/>
  <c r="B719" i="1"/>
  <c r="C719" i="1"/>
  <c r="B731" i="1"/>
  <c r="C731" i="1"/>
  <c r="B744" i="1"/>
  <c r="C744" i="1"/>
  <c r="B694" i="1"/>
  <c r="C694" i="1"/>
  <c r="B707" i="1"/>
  <c r="C707" i="1"/>
  <c r="B720" i="1"/>
  <c r="C720" i="1"/>
  <c r="B732" i="1"/>
  <c r="C732" i="1"/>
  <c r="B695" i="1"/>
  <c r="C695" i="1"/>
  <c r="B708" i="1"/>
  <c r="C708" i="1"/>
  <c r="B721" i="1"/>
  <c r="C721" i="1"/>
  <c r="B733" i="1"/>
  <c r="C733" i="1"/>
  <c r="B745" i="1"/>
  <c r="C745" i="1"/>
  <c r="B696" i="1"/>
  <c r="C696" i="1"/>
  <c r="B709" i="1"/>
  <c r="C709" i="1"/>
  <c r="B722" i="1"/>
  <c r="C722" i="1"/>
  <c r="B734" i="1"/>
  <c r="C734" i="1"/>
  <c r="B746" i="1"/>
  <c r="C746" i="1"/>
  <c r="I671" i="1"/>
  <c r="K671" i="1" s="1"/>
  <c r="I672" i="1"/>
  <c r="L672" i="1" s="1"/>
  <c r="I673" i="1"/>
  <c r="L673" i="1" s="1"/>
  <c r="I674" i="1"/>
  <c r="N674" i="1" s="1"/>
  <c r="I675" i="1"/>
  <c r="M675" i="1" s="1"/>
  <c r="I676" i="1"/>
  <c r="N676" i="1" s="1"/>
  <c r="I677" i="1"/>
  <c r="N677" i="1" s="1"/>
  <c r="I678" i="1"/>
  <c r="M678" i="1" s="1"/>
  <c r="I679" i="1"/>
  <c r="K679" i="1" s="1"/>
  <c r="I680" i="1"/>
  <c r="L680" i="1" s="1"/>
  <c r="I681" i="1"/>
  <c r="M681" i="1" s="1"/>
  <c r="I682" i="1"/>
  <c r="K682" i="1" s="1"/>
  <c r="I683" i="1"/>
  <c r="L683" i="1" s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I645" i="1"/>
  <c r="N645" i="1" s="1"/>
  <c r="I659" i="1"/>
  <c r="M659" i="1" s="1"/>
  <c r="I646" i="1"/>
  <c r="L646" i="1" s="1"/>
  <c r="I647" i="1"/>
  <c r="N647" i="1" s="1"/>
  <c r="I660" i="1"/>
  <c r="K660" i="1" s="1"/>
  <c r="I648" i="1"/>
  <c r="L648" i="1" s="1"/>
  <c r="I661" i="1"/>
  <c r="L661" i="1" s="1"/>
  <c r="I649" i="1"/>
  <c r="K649" i="1" s="1"/>
  <c r="I662" i="1"/>
  <c r="K662" i="1" s="1"/>
  <c r="I650" i="1"/>
  <c r="M650" i="1" s="1"/>
  <c r="I663" i="1"/>
  <c r="L663" i="1" s="1"/>
  <c r="I651" i="1"/>
  <c r="K651" i="1" s="1"/>
  <c r="I664" i="1"/>
  <c r="L664" i="1" s="1"/>
  <c r="I652" i="1"/>
  <c r="N652" i="1" s="1"/>
  <c r="I665" i="1"/>
  <c r="M665" i="1" s="1"/>
  <c r="I653" i="1"/>
  <c r="K653" i="1" s="1"/>
  <c r="I666" i="1"/>
  <c r="L666" i="1" s="1"/>
  <c r="I654" i="1"/>
  <c r="K654" i="1" s="1"/>
  <c r="I667" i="1"/>
  <c r="K667" i="1" s="1"/>
  <c r="I655" i="1"/>
  <c r="L655" i="1" s="1"/>
  <c r="I668" i="1"/>
  <c r="K668" i="1" s="1"/>
  <c r="I656" i="1"/>
  <c r="K656" i="1" s="1"/>
  <c r="I657" i="1"/>
  <c r="L657" i="1" s="1"/>
  <c r="I669" i="1"/>
  <c r="N669" i="1" s="1"/>
  <c r="I658" i="1"/>
  <c r="N658" i="1" s="1"/>
  <c r="I670" i="1"/>
  <c r="M670" i="1" s="1"/>
  <c r="B645" i="1"/>
  <c r="C645" i="1"/>
  <c r="B659" i="1"/>
  <c r="C659" i="1"/>
  <c r="B646" i="1"/>
  <c r="C646" i="1"/>
  <c r="B647" i="1"/>
  <c r="C647" i="1"/>
  <c r="B660" i="1"/>
  <c r="C660" i="1"/>
  <c r="B648" i="1"/>
  <c r="C648" i="1"/>
  <c r="B661" i="1"/>
  <c r="C661" i="1"/>
  <c r="B649" i="1"/>
  <c r="C649" i="1"/>
  <c r="B662" i="1"/>
  <c r="C662" i="1"/>
  <c r="B650" i="1"/>
  <c r="C650" i="1"/>
  <c r="B663" i="1"/>
  <c r="C663" i="1"/>
  <c r="B651" i="1"/>
  <c r="C651" i="1"/>
  <c r="B664" i="1"/>
  <c r="C664" i="1"/>
  <c r="B652" i="1"/>
  <c r="C652" i="1"/>
  <c r="B665" i="1"/>
  <c r="C665" i="1"/>
  <c r="B653" i="1"/>
  <c r="C653" i="1"/>
  <c r="B666" i="1"/>
  <c r="C666" i="1"/>
  <c r="B654" i="1"/>
  <c r="C654" i="1"/>
  <c r="B667" i="1"/>
  <c r="C667" i="1"/>
  <c r="B655" i="1"/>
  <c r="C655" i="1"/>
  <c r="B668" i="1"/>
  <c r="C668" i="1"/>
  <c r="B656" i="1"/>
  <c r="C656" i="1"/>
  <c r="B657" i="1"/>
  <c r="C657" i="1"/>
  <c r="B669" i="1"/>
  <c r="C669" i="1"/>
  <c r="B658" i="1"/>
  <c r="C658" i="1"/>
  <c r="B670" i="1"/>
  <c r="C670" i="1"/>
  <c r="I631" i="1"/>
  <c r="I620" i="1"/>
  <c r="I632" i="1"/>
  <c r="I621" i="1"/>
  <c r="I633" i="1"/>
  <c r="I622" i="1"/>
  <c r="I634" i="1"/>
  <c r="I635" i="1"/>
  <c r="I623" i="1"/>
  <c r="I636" i="1"/>
  <c r="I624" i="1"/>
  <c r="I637" i="1"/>
  <c r="I625" i="1"/>
  <c r="I638" i="1"/>
  <c r="I626" i="1"/>
  <c r="I639" i="1"/>
  <c r="I627" i="1"/>
  <c r="I640" i="1"/>
  <c r="I628" i="1"/>
  <c r="I641" i="1"/>
  <c r="I642" i="1"/>
  <c r="I629" i="1"/>
  <c r="I643" i="1"/>
  <c r="I630" i="1"/>
  <c r="I644" i="1"/>
  <c r="B631" i="1"/>
  <c r="C631" i="1"/>
  <c r="B620" i="1"/>
  <c r="C620" i="1"/>
  <c r="B632" i="1"/>
  <c r="C632" i="1"/>
  <c r="B621" i="1"/>
  <c r="C621" i="1"/>
  <c r="B633" i="1"/>
  <c r="C633" i="1"/>
  <c r="B622" i="1"/>
  <c r="C622" i="1"/>
  <c r="B634" i="1"/>
  <c r="C634" i="1"/>
  <c r="B635" i="1"/>
  <c r="C635" i="1"/>
  <c r="B623" i="1"/>
  <c r="C623" i="1"/>
  <c r="B636" i="1"/>
  <c r="C636" i="1"/>
  <c r="B624" i="1"/>
  <c r="C624" i="1"/>
  <c r="B637" i="1"/>
  <c r="C637" i="1"/>
  <c r="B625" i="1"/>
  <c r="C625" i="1"/>
  <c r="B638" i="1"/>
  <c r="C638" i="1"/>
  <c r="B626" i="1"/>
  <c r="C626" i="1"/>
  <c r="B639" i="1"/>
  <c r="C639" i="1"/>
  <c r="B627" i="1"/>
  <c r="C627" i="1"/>
  <c r="B640" i="1"/>
  <c r="C640" i="1"/>
  <c r="B628" i="1"/>
  <c r="C628" i="1"/>
  <c r="B641" i="1"/>
  <c r="C641" i="1"/>
  <c r="B642" i="1"/>
  <c r="C642" i="1"/>
  <c r="B629" i="1"/>
  <c r="C629" i="1"/>
  <c r="B643" i="1"/>
  <c r="C643" i="1"/>
  <c r="B630" i="1"/>
  <c r="C630" i="1"/>
  <c r="B644" i="1"/>
  <c r="C644" i="1"/>
  <c r="F8" i="2"/>
  <c r="I608" i="1"/>
  <c r="L608" i="1" s="1"/>
  <c r="I595" i="1"/>
  <c r="L595" i="1" s="1"/>
  <c r="I609" i="1"/>
  <c r="M609" i="1" s="1"/>
  <c r="I596" i="1"/>
  <c r="L596" i="1" s="1"/>
  <c r="I597" i="1"/>
  <c r="L597" i="1" s="1"/>
  <c r="I610" i="1"/>
  <c r="N610" i="1" s="1"/>
  <c r="I598" i="1"/>
  <c r="K598" i="1" s="1"/>
  <c r="I611" i="1"/>
  <c r="N611" i="1" s="1"/>
  <c r="I599" i="1"/>
  <c r="L599" i="1" s="1"/>
  <c r="I612" i="1"/>
  <c r="L612" i="1" s="1"/>
  <c r="I600" i="1"/>
  <c r="K600" i="1" s="1"/>
  <c r="I601" i="1"/>
  <c r="M601" i="1" s="1"/>
  <c r="I613" i="1"/>
  <c r="K613" i="1" s="1"/>
  <c r="I602" i="1"/>
  <c r="K602" i="1" s="1"/>
  <c r="I614" i="1"/>
  <c r="N614" i="1" s="1"/>
  <c r="I603" i="1"/>
  <c r="N603" i="1" s="1"/>
  <c r="I615" i="1"/>
  <c r="K615" i="1" s="1"/>
  <c r="I604" i="1"/>
  <c r="K604" i="1" s="1"/>
  <c r="I616" i="1"/>
  <c r="M616" i="1" s="1"/>
  <c r="I605" i="1"/>
  <c r="K605" i="1" s="1"/>
  <c r="I617" i="1"/>
  <c r="M617" i="1" s="1"/>
  <c r="I606" i="1"/>
  <c r="K606" i="1" s="1"/>
  <c r="I618" i="1"/>
  <c r="M618" i="1" s="1"/>
  <c r="I607" i="1"/>
  <c r="M607" i="1" s="1"/>
  <c r="I619" i="1"/>
  <c r="K619" i="1" s="1"/>
  <c r="B608" i="1"/>
  <c r="C608" i="1"/>
  <c r="B595" i="1"/>
  <c r="C595" i="1"/>
  <c r="B609" i="1"/>
  <c r="C609" i="1"/>
  <c r="B596" i="1"/>
  <c r="C596" i="1"/>
  <c r="B597" i="1"/>
  <c r="C597" i="1"/>
  <c r="B610" i="1"/>
  <c r="C610" i="1"/>
  <c r="B598" i="1"/>
  <c r="C598" i="1"/>
  <c r="B611" i="1"/>
  <c r="C611" i="1"/>
  <c r="B599" i="1"/>
  <c r="C599" i="1"/>
  <c r="B612" i="1"/>
  <c r="C612" i="1"/>
  <c r="B600" i="1"/>
  <c r="C600" i="1"/>
  <c r="B601" i="1"/>
  <c r="C601" i="1"/>
  <c r="B613" i="1"/>
  <c r="C613" i="1"/>
  <c r="B602" i="1"/>
  <c r="C602" i="1"/>
  <c r="B614" i="1"/>
  <c r="C614" i="1"/>
  <c r="B603" i="1"/>
  <c r="C603" i="1"/>
  <c r="B615" i="1"/>
  <c r="C615" i="1"/>
  <c r="B604" i="1"/>
  <c r="C604" i="1"/>
  <c r="B616" i="1"/>
  <c r="C616" i="1"/>
  <c r="B605" i="1"/>
  <c r="C605" i="1"/>
  <c r="B617" i="1"/>
  <c r="C617" i="1"/>
  <c r="B606" i="1"/>
  <c r="C606" i="1"/>
  <c r="B618" i="1"/>
  <c r="C618" i="1"/>
  <c r="B607" i="1"/>
  <c r="C607" i="1"/>
  <c r="B619" i="1"/>
  <c r="C619" i="1"/>
  <c r="I547" i="1"/>
  <c r="M547" i="1" s="1"/>
  <c r="I561" i="1"/>
  <c r="M561" i="1" s="1"/>
  <c r="I570" i="1"/>
  <c r="L570" i="1" s="1"/>
  <c r="I581" i="1"/>
  <c r="M581" i="1" s="1"/>
  <c r="I548" i="1"/>
  <c r="N548" i="1" s="1"/>
  <c r="I582" i="1"/>
  <c r="N582" i="1" s="1"/>
  <c r="I549" i="1"/>
  <c r="N549" i="1" s="1"/>
  <c r="I562" i="1"/>
  <c r="M562" i="1" s="1"/>
  <c r="I571" i="1"/>
  <c r="N571" i="1" s="1"/>
  <c r="I583" i="1"/>
  <c r="K583" i="1" s="1"/>
  <c r="I550" i="1"/>
  <c r="L550" i="1" s="1"/>
  <c r="I563" i="1"/>
  <c r="L563" i="1" s="1"/>
  <c r="I572" i="1"/>
  <c r="M572" i="1" s="1"/>
  <c r="I584" i="1"/>
  <c r="L584" i="1" s="1"/>
  <c r="I551" i="1"/>
  <c r="K551" i="1" s="1"/>
  <c r="I564" i="1"/>
  <c r="L564" i="1" s="1"/>
  <c r="I573" i="1"/>
  <c r="M573" i="1" s="1"/>
  <c r="I585" i="1"/>
  <c r="K585" i="1" s="1"/>
  <c r="I552" i="1"/>
  <c r="K552" i="1" s="1"/>
  <c r="I586" i="1"/>
  <c r="K586" i="1" s="1"/>
  <c r="I553" i="1"/>
  <c r="M553" i="1" s="1"/>
  <c r="I565" i="1"/>
  <c r="K565" i="1" s="1"/>
  <c r="I574" i="1"/>
  <c r="K574" i="1" s="1"/>
  <c r="I587" i="1"/>
  <c r="K587" i="1" s="1"/>
  <c r="I554" i="1"/>
  <c r="M554" i="1" s="1"/>
  <c r="I566" i="1"/>
  <c r="N566" i="1" s="1"/>
  <c r="I575" i="1"/>
  <c r="K575" i="1" s="1"/>
  <c r="I588" i="1"/>
  <c r="K588" i="1" s="1"/>
  <c r="I555" i="1"/>
  <c r="M555" i="1" s="1"/>
  <c r="I567" i="1"/>
  <c r="N567" i="1" s="1"/>
  <c r="I576" i="1"/>
  <c r="K576" i="1" s="1"/>
  <c r="I589" i="1"/>
  <c r="K589" i="1" s="1"/>
  <c r="I556" i="1"/>
  <c r="L556" i="1" s="1"/>
  <c r="I568" i="1"/>
  <c r="L568" i="1" s="1"/>
  <c r="I577" i="1"/>
  <c r="M577" i="1" s="1"/>
  <c r="I590" i="1"/>
  <c r="M590" i="1" s="1"/>
  <c r="I557" i="1"/>
  <c r="M557" i="1" s="1"/>
  <c r="I569" i="1"/>
  <c r="M569" i="1" s="1"/>
  <c r="I578" i="1"/>
  <c r="M578" i="1" s="1"/>
  <c r="I591" i="1"/>
  <c r="M591" i="1" s="1"/>
  <c r="I558" i="1"/>
  <c r="M558" i="1" s="1"/>
  <c r="I579" i="1"/>
  <c r="M579" i="1" s="1"/>
  <c r="I592" i="1"/>
  <c r="M592" i="1" s="1"/>
  <c r="I559" i="1"/>
  <c r="L559" i="1" s="1"/>
  <c r="I580" i="1"/>
  <c r="N580" i="1" s="1"/>
  <c r="I593" i="1"/>
  <c r="K593" i="1" s="1"/>
  <c r="I560" i="1"/>
  <c r="N560" i="1" s="1"/>
  <c r="I594" i="1"/>
  <c r="N594" i="1" s="1"/>
  <c r="B547" i="1"/>
  <c r="C547" i="1"/>
  <c r="B561" i="1"/>
  <c r="C561" i="1"/>
  <c r="B570" i="1"/>
  <c r="C570" i="1"/>
  <c r="B581" i="1"/>
  <c r="C581" i="1"/>
  <c r="B548" i="1"/>
  <c r="C548" i="1"/>
  <c r="B582" i="1"/>
  <c r="C582" i="1"/>
  <c r="B549" i="1"/>
  <c r="C549" i="1"/>
  <c r="B562" i="1"/>
  <c r="C562" i="1"/>
  <c r="B571" i="1"/>
  <c r="C571" i="1"/>
  <c r="B583" i="1"/>
  <c r="C583" i="1"/>
  <c r="B550" i="1"/>
  <c r="C550" i="1"/>
  <c r="B563" i="1"/>
  <c r="C563" i="1"/>
  <c r="B572" i="1"/>
  <c r="C572" i="1"/>
  <c r="B584" i="1"/>
  <c r="C584" i="1"/>
  <c r="B551" i="1"/>
  <c r="C551" i="1"/>
  <c r="B564" i="1"/>
  <c r="C564" i="1"/>
  <c r="B573" i="1"/>
  <c r="C573" i="1"/>
  <c r="B585" i="1"/>
  <c r="C585" i="1"/>
  <c r="B552" i="1"/>
  <c r="C552" i="1"/>
  <c r="B586" i="1"/>
  <c r="C586" i="1"/>
  <c r="B553" i="1"/>
  <c r="C553" i="1"/>
  <c r="B565" i="1"/>
  <c r="C565" i="1"/>
  <c r="B574" i="1"/>
  <c r="C574" i="1"/>
  <c r="B587" i="1"/>
  <c r="C587" i="1"/>
  <c r="B554" i="1"/>
  <c r="C554" i="1"/>
  <c r="B566" i="1"/>
  <c r="C566" i="1"/>
  <c r="B575" i="1"/>
  <c r="C575" i="1"/>
  <c r="B588" i="1"/>
  <c r="C588" i="1"/>
  <c r="B555" i="1"/>
  <c r="C555" i="1"/>
  <c r="B567" i="1"/>
  <c r="C567" i="1"/>
  <c r="B576" i="1"/>
  <c r="C576" i="1"/>
  <c r="B589" i="1"/>
  <c r="C589" i="1"/>
  <c r="B556" i="1"/>
  <c r="C556" i="1"/>
  <c r="B568" i="1"/>
  <c r="C568" i="1"/>
  <c r="B577" i="1"/>
  <c r="C577" i="1"/>
  <c r="B590" i="1"/>
  <c r="C590" i="1"/>
  <c r="B557" i="1"/>
  <c r="C557" i="1"/>
  <c r="B569" i="1"/>
  <c r="C569" i="1"/>
  <c r="B578" i="1"/>
  <c r="C578" i="1"/>
  <c r="B591" i="1"/>
  <c r="C591" i="1"/>
  <c r="B558" i="1"/>
  <c r="C558" i="1"/>
  <c r="B579" i="1"/>
  <c r="C579" i="1"/>
  <c r="B592" i="1"/>
  <c r="C592" i="1"/>
  <c r="B559" i="1"/>
  <c r="C559" i="1"/>
  <c r="B580" i="1"/>
  <c r="C580" i="1"/>
  <c r="B593" i="1"/>
  <c r="C593" i="1"/>
  <c r="B560" i="1"/>
  <c r="C560" i="1"/>
  <c r="B594" i="1"/>
  <c r="C594" i="1"/>
  <c r="I522" i="1"/>
  <c r="L522" i="1" s="1"/>
  <c r="I523" i="1"/>
  <c r="K523" i="1" s="1"/>
  <c r="I535" i="1"/>
  <c r="N535" i="1" s="1"/>
  <c r="I524" i="1"/>
  <c r="L524" i="1" s="1"/>
  <c r="I536" i="1"/>
  <c r="N536" i="1" s="1"/>
  <c r="I525" i="1"/>
  <c r="L525" i="1" s="1"/>
  <c r="I537" i="1"/>
  <c r="L537" i="1" s="1"/>
  <c r="I526" i="1"/>
  <c r="K526" i="1" s="1"/>
  <c r="I538" i="1"/>
  <c r="K538" i="1" s="1"/>
  <c r="I527" i="1"/>
  <c r="K527" i="1" s="1"/>
  <c r="I539" i="1"/>
  <c r="L539" i="1" s="1"/>
  <c r="I528" i="1"/>
  <c r="M528" i="1" s="1"/>
  <c r="I540" i="1"/>
  <c r="N540" i="1" s="1"/>
  <c r="I529" i="1"/>
  <c r="L529" i="1" s="1"/>
  <c r="I541" i="1"/>
  <c r="L541" i="1" s="1"/>
  <c r="I530" i="1"/>
  <c r="K530" i="1" s="1"/>
  <c r="I542" i="1"/>
  <c r="K542" i="1" s="1"/>
  <c r="I531" i="1"/>
  <c r="L531" i="1" s="1"/>
  <c r="I543" i="1"/>
  <c r="N543" i="1" s="1"/>
  <c r="I532" i="1"/>
  <c r="M532" i="1" s="1"/>
  <c r="I544" i="1"/>
  <c r="K544" i="1" s="1"/>
  <c r="I533" i="1"/>
  <c r="L533" i="1" s="1"/>
  <c r="I545" i="1"/>
  <c r="N545" i="1" s="1"/>
  <c r="I534" i="1"/>
  <c r="K534" i="1" s="1"/>
  <c r="I546" i="1"/>
  <c r="L546" i="1" s="1"/>
  <c r="B522" i="1"/>
  <c r="C522" i="1"/>
  <c r="B523" i="1"/>
  <c r="C523" i="1"/>
  <c r="B535" i="1"/>
  <c r="C535" i="1"/>
  <c r="B524" i="1"/>
  <c r="C524" i="1"/>
  <c r="B536" i="1"/>
  <c r="C536" i="1"/>
  <c r="B525" i="1"/>
  <c r="C525" i="1"/>
  <c r="B537" i="1"/>
  <c r="C537" i="1"/>
  <c r="B526" i="1"/>
  <c r="C526" i="1"/>
  <c r="B538" i="1"/>
  <c r="C538" i="1"/>
  <c r="B527" i="1"/>
  <c r="C527" i="1"/>
  <c r="B539" i="1"/>
  <c r="C539" i="1"/>
  <c r="B528" i="1"/>
  <c r="C528" i="1"/>
  <c r="B540" i="1"/>
  <c r="C540" i="1"/>
  <c r="B529" i="1"/>
  <c r="C529" i="1"/>
  <c r="B541" i="1"/>
  <c r="C541" i="1"/>
  <c r="B530" i="1"/>
  <c r="C530" i="1"/>
  <c r="B542" i="1"/>
  <c r="C542" i="1"/>
  <c r="B531" i="1"/>
  <c r="C531" i="1"/>
  <c r="B543" i="1"/>
  <c r="C543" i="1"/>
  <c r="B532" i="1"/>
  <c r="C532" i="1"/>
  <c r="B544" i="1"/>
  <c r="C544" i="1"/>
  <c r="B533" i="1"/>
  <c r="C533" i="1"/>
  <c r="B545" i="1"/>
  <c r="C545" i="1"/>
  <c r="B534" i="1"/>
  <c r="C534" i="1"/>
  <c r="B546" i="1"/>
  <c r="C546" i="1"/>
  <c r="I496" i="1"/>
  <c r="L496" i="1" s="1"/>
  <c r="I509" i="1"/>
  <c r="N509" i="1" s="1"/>
  <c r="I497" i="1"/>
  <c r="N497" i="1" s="1"/>
  <c r="I510" i="1"/>
  <c r="N510" i="1" s="1"/>
  <c r="I498" i="1"/>
  <c r="L498" i="1" s="1"/>
  <c r="I511" i="1"/>
  <c r="L511" i="1" s="1"/>
  <c r="I499" i="1"/>
  <c r="N499" i="1" s="1"/>
  <c r="I512" i="1"/>
  <c r="I500" i="1"/>
  <c r="N500" i="1" s="1"/>
  <c r="I513" i="1"/>
  <c r="M513" i="1" s="1"/>
  <c r="I501" i="1"/>
  <c r="K501" i="1" s="1"/>
  <c r="I514" i="1"/>
  <c r="K514" i="1" s="1"/>
  <c r="I502" i="1"/>
  <c r="K502" i="1" s="1"/>
  <c r="I515" i="1"/>
  <c r="K515" i="1" s="1"/>
  <c r="I503" i="1"/>
  <c r="K503" i="1" s="1"/>
  <c r="I516" i="1"/>
  <c r="N516" i="1" s="1"/>
  <c r="I504" i="1"/>
  <c r="K504" i="1" s="1"/>
  <c r="I517" i="1"/>
  <c r="M517" i="1" s="1"/>
  <c r="I505" i="1"/>
  <c r="L505" i="1" s="1"/>
  <c r="I518" i="1"/>
  <c r="L518" i="1" s="1"/>
  <c r="I506" i="1"/>
  <c r="K506" i="1" s="1"/>
  <c r="I519" i="1"/>
  <c r="M519" i="1" s="1"/>
  <c r="I507" i="1"/>
  <c r="M507" i="1" s="1"/>
  <c r="I520" i="1"/>
  <c r="L520" i="1" s="1"/>
  <c r="I508" i="1"/>
  <c r="N508" i="1" s="1"/>
  <c r="I521" i="1"/>
  <c r="K521" i="1" s="1"/>
  <c r="B496" i="1"/>
  <c r="C496" i="1"/>
  <c r="B509" i="1"/>
  <c r="C509" i="1"/>
  <c r="B497" i="1"/>
  <c r="C497" i="1"/>
  <c r="B510" i="1"/>
  <c r="C510" i="1"/>
  <c r="B498" i="1"/>
  <c r="C498" i="1"/>
  <c r="B511" i="1"/>
  <c r="C511" i="1"/>
  <c r="B499" i="1"/>
  <c r="C499" i="1"/>
  <c r="B512" i="1"/>
  <c r="C512" i="1"/>
  <c r="B500" i="1"/>
  <c r="C500" i="1"/>
  <c r="B513" i="1"/>
  <c r="C513" i="1"/>
  <c r="B501" i="1"/>
  <c r="C501" i="1"/>
  <c r="B514" i="1"/>
  <c r="C514" i="1"/>
  <c r="B502" i="1"/>
  <c r="C502" i="1"/>
  <c r="B515" i="1"/>
  <c r="C515" i="1"/>
  <c r="B503" i="1"/>
  <c r="C503" i="1"/>
  <c r="B516" i="1"/>
  <c r="C516" i="1"/>
  <c r="B504" i="1"/>
  <c r="C504" i="1"/>
  <c r="B517" i="1"/>
  <c r="C517" i="1"/>
  <c r="B505" i="1"/>
  <c r="C505" i="1"/>
  <c r="B518" i="1"/>
  <c r="C518" i="1"/>
  <c r="B506" i="1"/>
  <c r="C506" i="1"/>
  <c r="B519" i="1"/>
  <c r="C519" i="1"/>
  <c r="B507" i="1"/>
  <c r="C507" i="1"/>
  <c r="B520" i="1"/>
  <c r="C520" i="1"/>
  <c r="B508" i="1"/>
  <c r="C508" i="1"/>
  <c r="B521" i="1"/>
  <c r="C521" i="1"/>
  <c r="I482" i="1"/>
  <c r="L482" i="1" s="1"/>
  <c r="I483" i="1"/>
  <c r="M483" i="1" s="1"/>
  <c r="I484" i="1"/>
  <c r="I485" i="1"/>
  <c r="I486" i="1"/>
  <c r="K486" i="1" s="1"/>
  <c r="I487" i="1"/>
  <c r="K487" i="1" s="1"/>
  <c r="I488" i="1"/>
  <c r="M488" i="1" s="1"/>
  <c r="I489" i="1"/>
  <c r="L489" i="1" s="1"/>
  <c r="I490" i="1"/>
  <c r="N490" i="1" s="1"/>
  <c r="I491" i="1"/>
  <c r="K491" i="1" s="1"/>
  <c r="I492" i="1"/>
  <c r="I493" i="1"/>
  <c r="L493" i="1" s="1"/>
  <c r="I494" i="1"/>
  <c r="K494" i="1" s="1"/>
  <c r="I495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I471" i="1"/>
  <c r="K471" i="1" s="1"/>
  <c r="I472" i="1"/>
  <c r="K472" i="1" s="1"/>
  <c r="I473" i="1"/>
  <c r="L473" i="1" s="1"/>
  <c r="I474" i="1"/>
  <c r="N474" i="1" s="1"/>
  <c r="I475" i="1"/>
  <c r="K475" i="1" s="1"/>
  <c r="I476" i="1"/>
  <c r="L476" i="1" s="1"/>
  <c r="I477" i="1"/>
  <c r="I478" i="1"/>
  <c r="L478" i="1" s="1"/>
  <c r="I479" i="1"/>
  <c r="N479" i="1" s="1"/>
  <c r="I480" i="1"/>
  <c r="K480" i="1" s="1"/>
  <c r="I481" i="1"/>
  <c r="M481" i="1" s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I459" i="1"/>
  <c r="I460" i="1"/>
  <c r="N460" i="1" s="1"/>
  <c r="I461" i="1"/>
  <c r="M461" i="1" s="1"/>
  <c r="I462" i="1"/>
  <c r="N462" i="1" s="1"/>
  <c r="I463" i="1"/>
  <c r="K463" i="1" s="1"/>
  <c r="I464" i="1"/>
  <c r="N464" i="1" s="1"/>
  <c r="I465" i="1"/>
  <c r="I466" i="1"/>
  <c r="I467" i="1"/>
  <c r="L467" i="1" s="1"/>
  <c r="I468" i="1"/>
  <c r="I469" i="1"/>
  <c r="I470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I445" i="1"/>
  <c r="I446" i="1"/>
  <c r="I447" i="1"/>
  <c r="I448" i="1"/>
  <c r="I449" i="1"/>
  <c r="I450" i="1"/>
  <c r="I451" i="1"/>
  <c r="I452" i="1"/>
  <c r="I453" i="1"/>
  <c r="I454" i="1"/>
  <c r="K454" i="1" s="1"/>
  <c r="I455" i="1"/>
  <c r="I456" i="1"/>
  <c r="I457" i="1"/>
  <c r="I458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I418" i="1"/>
  <c r="L418" i="1" s="1"/>
  <c r="I407" i="1"/>
  <c r="L407" i="1" s="1"/>
  <c r="I419" i="1"/>
  <c r="I408" i="1"/>
  <c r="I420" i="1"/>
  <c r="N420" i="1" s="1"/>
  <c r="I409" i="1"/>
  <c r="I421" i="1"/>
  <c r="K421" i="1" s="1"/>
  <c r="I410" i="1"/>
  <c r="K410" i="1" s="1"/>
  <c r="I422" i="1"/>
  <c r="K422" i="1" s="1"/>
  <c r="I423" i="1"/>
  <c r="N423" i="1" s="1"/>
  <c r="I411" i="1"/>
  <c r="N411" i="1" s="1"/>
  <c r="I424" i="1"/>
  <c r="N424" i="1" s="1"/>
  <c r="I412" i="1"/>
  <c r="K412" i="1" s="1"/>
  <c r="I425" i="1"/>
  <c r="I413" i="1"/>
  <c r="K413" i="1" s="1"/>
  <c r="I426" i="1"/>
  <c r="M426" i="1" s="1"/>
  <c r="I414" i="1"/>
  <c r="N414" i="1" s="1"/>
  <c r="I427" i="1"/>
  <c r="N427" i="1" s="1"/>
  <c r="I415" i="1"/>
  <c r="N415" i="1" s="1"/>
  <c r="I428" i="1"/>
  <c r="I429" i="1"/>
  <c r="M429" i="1" s="1"/>
  <c r="I416" i="1"/>
  <c r="I430" i="1"/>
  <c r="L430" i="1" s="1"/>
  <c r="I417" i="1"/>
  <c r="N417" i="1" s="1"/>
  <c r="I431" i="1"/>
  <c r="K431" i="1" s="1"/>
  <c r="B418" i="1"/>
  <c r="C418" i="1"/>
  <c r="B407" i="1"/>
  <c r="C407" i="1"/>
  <c r="B419" i="1"/>
  <c r="C419" i="1"/>
  <c r="B408" i="1"/>
  <c r="C408" i="1"/>
  <c r="B420" i="1"/>
  <c r="C420" i="1"/>
  <c r="B409" i="1"/>
  <c r="C409" i="1"/>
  <c r="B421" i="1"/>
  <c r="C421" i="1"/>
  <c r="B410" i="1"/>
  <c r="C410" i="1"/>
  <c r="B422" i="1"/>
  <c r="C422" i="1"/>
  <c r="B423" i="1"/>
  <c r="C423" i="1"/>
  <c r="B411" i="1"/>
  <c r="C411" i="1"/>
  <c r="B424" i="1"/>
  <c r="C424" i="1"/>
  <c r="B412" i="1"/>
  <c r="C412" i="1"/>
  <c r="B425" i="1"/>
  <c r="C425" i="1"/>
  <c r="B413" i="1"/>
  <c r="C413" i="1"/>
  <c r="B426" i="1"/>
  <c r="C426" i="1"/>
  <c r="B414" i="1"/>
  <c r="C414" i="1"/>
  <c r="B427" i="1"/>
  <c r="C427" i="1"/>
  <c r="B415" i="1"/>
  <c r="C415" i="1"/>
  <c r="B428" i="1"/>
  <c r="C428" i="1"/>
  <c r="B429" i="1"/>
  <c r="C429" i="1"/>
  <c r="B416" i="1"/>
  <c r="C416" i="1"/>
  <c r="B430" i="1"/>
  <c r="C430" i="1"/>
  <c r="B417" i="1"/>
  <c r="C417" i="1"/>
  <c r="B431" i="1"/>
  <c r="C431" i="1"/>
  <c r="F11" i="2"/>
  <c r="I358" i="1"/>
  <c r="I371" i="1"/>
  <c r="N371" i="1" s="1"/>
  <c r="I384" i="1"/>
  <c r="I396" i="1"/>
  <c r="N396" i="1" s="1"/>
  <c r="I359" i="1"/>
  <c r="I372" i="1"/>
  <c r="N372" i="1" s="1"/>
  <c r="I385" i="1"/>
  <c r="I397" i="1"/>
  <c r="I360" i="1"/>
  <c r="I373" i="1"/>
  <c r="I386" i="1"/>
  <c r="N386" i="1" s="1"/>
  <c r="I361" i="1"/>
  <c r="I374" i="1"/>
  <c r="I398" i="1"/>
  <c r="K398" i="1" s="1"/>
  <c r="I362" i="1"/>
  <c r="N362" i="1" s="1"/>
  <c r="I375" i="1"/>
  <c r="I387" i="1"/>
  <c r="M387" i="1" s="1"/>
  <c r="I399" i="1"/>
  <c r="I363" i="1"/>
  <c r="L363" i="1" s="1"/>
  <c r="I376" i="1"/>
  <c r="I388" i="1"/>
  <c r="K388" i="1" s="1"/>
  <c r="I400" i="1"/>
  <c r="N400" i="1" s="1"/>
  <c r="I364" i="1"/>
  <c r="K364" i="1" s="1"/>
  <c r="I377" i="1"/>
  <c r="K377" i="1" s="1"/>
  <c r="I389" i="1"/>
  <c r="N389" i="1" s="1"/>
  <c r="I401" i="1"/>
  <c r="N401" i="1" s="1"/>
  <c r="I365" i="1"/>
  <c r="I378" i="1"/>
  <c r="I390" i="1"/>
  <c r="I402" i="1"/>
  <c r="N402" i="1" s="1"/>
  <c r="I366" i="1"/>
  <c r="I379" i="1"/>
  <c r="K379" i="1" s="1"/>
  <c r="I391" i="1"/>
  <c r="I403" i="1"/>
  <c r="I367" i="1"/>
  <c r="I380" i="1"/>
  <c r="M380" i="1" s="1"/>
  <c r="I381" i="1"/>
  <c r="I392" i="1"/>
  <c r="I404" i="1"/>
  <c r="I368" i="1"/>
  <c r="I393" i="1"/>
  <c r="N393" i="1" s="1"/>
  <c r="I369" i="1"/>
  <c r="N369" i="1" s="1"/>
  <c r="I382" i="1"/>
  <c r="I394" i="1"/>
  <c r="N394" i="1" s="1"/>
  <c r="I405" i="1"/>
  <c r="I370" i="1"/>
  <c r="I383" i="1"/>
  <c r="N383" i="1" s="1"/>
  <c r="I395" i="1"/>
  <c r="I406" i="1"/>
  <c r="K406" i="1" s="1"/>
  <c r="B358" i="1"/>
  <c r="C358" i="1"/>
  <c r="B371" i="1"/>
  <c r="C371" i="1"/>
  <c r="B384" i="1"/>
  <c r="C384" i="1"/>
  <c r="B396" i="1"/>
  <c r="C396" i="1"/>
  <c r="B359" i="1"/>
  <c r="C359" i="1"/>
  <c r="B372" i="1"/>
  <c r="C372" i="1"/>
  <c r="B385" i="1"/>
  <c r="C385" i="1"/>
  <c r="B397" i="1"/>
  <c r="C397" i="1"/>
  <c r="B360" i="1"/>
  <c r="C360" i="1"/>
  <c r="B373" i="1"/>
  <c r="C373" i="1"/>
  <c r="B386" i="1"/>
  <c r="C386" i="1"/>
  <c r="B361" i="1"/>
  <c r="C361" i="1"/>
  <c r="B374" i="1"/>
  <c r="C374" i="1"/>
  <c r="B398" i="1"/>
  <c r="C398" i="1"/>
  <c r="B362" i="1"/>
  <c r="C362" i="1"/>
  <c r="B375" i="1"/>
  <c r="C375" i="1"/>
  <c r="B387" i="1"/>
  <c r="C387" i="1"/>
  <c r="B399" i="1"/>
  <c r="C399" i="1"/>
  <c r="B363" i="1"/>
  <c r="C363" i="1"/>
  <c r="B376" i="1"/>
  <c r="C376" i="1"/>
  <c r="B388" i="1"/>
  <c r="C388" i="1"/>
  <c r="B400" i="1"/>
  <c r="C400" i="1"/>
  <c r="B364" i="1"/>
  <c r="C364" i="1"/>
  <c r="B377" i="1"/>
  <c r="C377" i="1"/>
  <c r="B389" i="1"/>
  <c r="C389" i="1"/>
  <c r="B401" i="1"/>
  <c r="C401" i="1"/>
  <c r="B365" i="1"/>
  <c r="C365" i="1"/>
  <c r="B378" i="1"/>
  <c r="C378" i="1"/>
  <c r="B390" i="1"/>
  <c r="C390" i="1"/>
  <c r="B402" i="1"/>
  <c r="C402" i="1"/>
  <c r="B366" i="1"/>
  <c r="C366" i="1"/>
  <c r="B379" i="1"/>
  <c r="C379" i="1"/>
  <c r="B391" i="1"/>
  <c r="C391" i="1"/>
  <c r="B403" i="1"/>
  <c r="C403" i="1"/>
  <c r="B367" i="1"/>
  <c r="C367" i="1"/>
  <c r="B380" i="1"/>
  <c r="C380" i="1"/>
  <c r="B381" i="1"/>
  <c r="C381" i="1"/>
  <c r="B392" i="1"/>
  <c r="C392" i="1"/>
  <c r="B404" i="1"/>
  <c r="C404" i="1"/>
  <c r="B368" i="1"/>
  <c r="C368" i="1"/>
  <c r="B393" i="1"/>
  <c r="C393" i="1"/>
  <c r="B369" i="1"/>
  <c r="C369" i="1"/>
  <c r="B382" i="1"/>
  <c r="C382" i="1"/>
  <c r="B394" i="1"/>
  <c r="C394" i="1"/>
  <c r="B405" i="1"/>
  <c r="C405" i="1"/>
  <c r="B370" i="1"/>
  <c r="C370" i="1"/>
  <c r="B383" i="1"/>
  <c r="C383" i="1"/>
  <c r="B395" i="1"/>
  <c r="C395" i="1"/>
  <c r="B406" i="1"/>
  <c r="C406" i="1"/>
  <c r="I313" i="1"/>
  <c r="I328" i="1"/>
  <c r="I343" i="1"/>
  <c r="I314" i="1"/>
  <c r="I329" i="1"/>
  <c r="I344" i="1"/>
  <c r="I315" i="1"/>
  <c r="I330" i="1"/>
  <c r="I345" i="1"/>
  <c r="I316" i="1"/>
  <c r="I331" i="1"/>
  <c r="I346" i="1"/>
  <c r="I317" i="1"/>
  <c r="I332" i="1"/>
  <c r="I347" i="1"/>
  <c r="I318" i="1"/>
  <c r="I333" i="1"/>
  <c r="I348" i="1"/>
  <c r="I319" i="1"/>
  <c r="I334" i="1"/>
  <c r="I349" i="1"/>
  <c r="I320" i="1"/>
  <c r="I335" i="1"/>
  <c r="I350" i="1"/>
  <c r="I321" i="1"/>
  <c r="I336" i="1"/>
  <c r="I351" i="1"/>
  <c r="I322" i="1"/>
  <c r="I337" i="1"/>
  <c r="I352" i="1"/>
  <c r="I323" i="1"/>
  <c r="I338" i="1"/>
  <c r="I353" i="1"/>
  <c r="I324" i="1"/>
  <c r="I339" i="1"/>
  <c r="I354" i="1"/>
  <c r="I325" i="1"/>
  <c r="I340" i="1"/>
  <c r="I355" i="1"/>
  <c r="I326" i="1"/>
  <c r="I341" i="1"/>
  <c r="I356" i="1"/>
  <c r="I327" i="1"/>
  <c r="I342" i="1"/>
  <c r="I357" i="1"/>
  <c r="B313" i="1"/>
  <c r="C313" i="1"/>
  <c r="B328" i="1"/>
  <c r="C328" i="1"/>
  <c r="B343" i="1"/>
  <c r="C343" i="1"/>
  <c r="B314" i="1"/>
  <c r="C314" i="1"/>
  <c r="B329" i="1"/>
  <c r="C329" i="1"/>
  <c r="B344" i="1"/>
  <c r="C344" i="1"/>
  <c r="B315" i="1"/>
  <c r="C315" i="1"/>
  <c r="B330" i="1"/>
  <c r="C330" i="1"/>
  <c r="B345" i="1"/>
  <c r="C345" i="1"/>
  <c r="B316" i="1"/>
  <c r="C316" i="1"/>
  <c r="B331" i="1"/>
  <c r="C331" i="1"/>
  <c r="B346" i="1"/>
  <c r="C346" i="1"/>
  <c r="B317" i="1"/>
  <c r="C317" i="1"/>
  <c r="B332" i="1"/>
  <c r="C332" i="1"/>
  <c r="B347" i="1"/>
  <c r="C347" i="1"/>
  <c r="B318" i="1"/>
  <c r="C318" i="1"/>
  <c r="B333" i="1"/>
  <c r="C333" i="1"/>
  <c r="B348" i="1"/>
  <c r="C348" i="1"/>
  <c r="B319" i="1"/>
  <c r="C319" i="1"/>
  <c r="B334" i="1"/>
  <c r="C334" i="1"/>
  <c r="B349" i="1"/>
  <c r="C349" i="1"/>
  <c r="B320" i="1"/>
  <c r="C320" i="1"/>
  <c r="B335" i="1"/>
  <c r="C335" i="1"/>
  <c r="B350" i="1"/>
  <c r="C350" i="1"/>
  <c r="B321" i="1"/>
  <c r="C321" i="1"/>
  <c r="B336" i="1"/>
  <c r="C336" i="1"/>
  <c r="B351" i="1"/>
  <c r="C351" i="1"/>
  <c r="B322" i="1"/>
  <c r="C322" i="1"/>
  <c r="B337" i="1"/>
  <c r="C337" i="1"/>
  <c r="B352" i="1"/>
  <c r="C352" i="1"/>
  <c r="B323" i="1"/>
  <c r="C323" i="1"/>
  <c r="B338" i="1"/>
  <c r="C338" i="1"/>
  <c r="B353" i="1"/>
  <c r="C353" i="1"/>
  <c r="B324" i="1"/>
  <c r="C324" i="1"/>
  <c r="B339" i="1"/>
  <c r="C339" i="1"/>
  <c r="B354" i="1"/>
  <c r="C354" i="1"/>
  <c r="B325" i="1"/>
  <c r="C325" i="1"/>
  <c r="B340" i="1"/>
  <c r="C340" i="1"/>
  <c r="B355" i="1"/>
  <c r="C355" i="1"/>
  <c r="B326" i="1"/>
  <c r="C326" i="1"/>
  <c r="B341" i="1"/>
  <c r="C341" i="1"/>
  <c r="B356" i="1"/>
  <c r="C356" i="1"/>
  <c r="B327" i="1"/>
  <c r="C327" i="1"/>
  <c r="B342" i="1"/>
  <c r="C342" i="1"/>
  <c r="B357" i="1"/>
  <c r="C357" i="1"/>
  <c r="F20" i="2"/>
  <c r="F18" i="2"/>
  <c r="F13" i="2"/>
  <c r="F14" i="2"/>
  <c r="F15" i="2"/>
  <c r="F16" i="2"/>
  <c r="F12" i="2"/>
  <c r="I219" i="1"/>
  <c r="I237" i="1"/>
  <c r="I256" i="1"/>
  <c r="I272" i="1"/>
  <c r="I285" i="1"/>
  <c r="I238" i="1"/>
  <c r="I220" i="1"/>
  <c r="I239" i="1"/>
  <c r="I257" i="1"/>
  <c r="I273" i="1"/>
  <c r="I286" i="1"/>
  <c r="I299" i="1"/>
  <c r="I221" i="1"/>
  <c r="I240" i="1"/>
  <c r="I258" i="1"/>
  <c r="I287" i="1"/>
  <c r="I300" i="1"/>
  <c r="I222" i="1"/>
  <c r="I241" i="1"/>
  <c r="I259" i="1"/>
  <c r="I223" i="1"/>
  <c r="I242" i="1"/>
  <c r="I301" i="1"/>
  <c r="I224" i="1"/>
  <c r="I243" i="1"/>
  <c r="I260" i="1"/>
  <c r="I274" i="1"/>
  <c r="I288" i="1"/>
  <c r="I302" i="1"/>
  <c r="I225" i="1"/>
  <c r="I244" i="1"/>
  <c r="I261" i="1"/>
  <c r="I275" i="1"/>
  <c r="I289" i="1"/>
  <c r="I303" i="1"/>
  <c r="I226" i="1"/>
  <c r="I245" i="1"/>
  <c r="I262" i="1"/>
  <c r="I227" i="1"/>
  <c r="I246" i="1"/>
  <c r="I263" i="1"/>
  <c r="I276" i="1"/>
  <c r="I290" i="1"/>
  <c r="I304" i="1"/>
  <c r="I228" i="1"/>
  <c r="I247" i="1"/>
  <c r="I264" i="1"/>
  <c r="I277" i="1"/>
  <c r="I291" i="1"/>
  <c r="I305" i="1"/>
  <c r="I229" i="1"/>
  <c r="I248" i="1"/>
  <c r="I265" i="1"/>
  <c r="I278" i="1"/>
  <c r="I292" i="1"/>
  <c r="I306" i="1"/>
  <c r="I230" i="1"/>
  <c r="I249" i="1"/>
  <c r="I266" i="1"/>
  <c r="I231" i="1"/>
  <c r="I250" i="1"/>
  <c r="I267" i="1"/>
  <c r="I279" i="1"/>
  <c r="K279" i="1" s="1"/>
  <c r="I293" i="1"/>
  <c r="I307" i="1"/>
  <c r="I232" i="1"/>
  <c r="I251" i="1"/>
  <c r="I268" i="1"/>
  <c r="I280" i="1"/>
  <c r="I294" i="1"/>
  <c r="I308" i="1"/>
  <c r="I233" i="1"/>
  <c r="I252" i="1"/>
  <c r="I269" i="1"/>
  <c r="I281" i="1"/>
  <c r="I295" i="1"/>
  <c r="I309" i="1"/>
  <c r="I234" i="1"/>
  <c r="I253" i="1"/>
  <c r="I282" i="1"/>
  <c r="I296" i="1"/>
  <c r="I310" i="1"/>
  <c r="I235" i="1"/>
  <c r="I254" i="1"/>
  <c r="I270" i="1"/>
  <c r="I283" i="1"/>
  <c r="I297" i="1"/>
  <c r="I311" i="1"/>
  <c r="I236" i="1"/>
  <c r="I255" i="1"/>
  <c r="I271" i="1"/>
  <c r="I284" i="1"/>
  <c r="I298" i="1"/>
  <c r="I312" i="1"/>
  <c r="B219" i="1"/>
  <c r="C219" i="1"/>
  <c r="B237" i="1"/>
  <c r="C237" i="1"/>
  <c r="B256" i="1"/>
  <c r="C256" i="1"/>
  <c r="B272" i="1"/>
  <c r="C272" i="1"/>
  <c r="B285" i="1"/>
  <c r="C285" i="1"/>
  <c r="B238" i="1"/>
  <c r="C238" i="1"/>
  <c r="B220" i="1"/>
  <c r="C220" i="1"/>
  <c r="B239" i="1"/>
  <c r="C239" i="1"/>
  <c r="B257" i="1"/>
  <c r="C257" i="1"/>
  <c r="B273" i="1"/>
  <c r="C273" i="1"/>
  <c r="B286" i="1"/>
  <c r="C286" i="1"/>
  <c r="B299" i="1"/>
  <c r="C299" i="1"/>
  <c r="B221" i="1"/>
  <c r="C221" i="1"/>
  <c r="B240" i="1"/>
  <c r="C240" i="1"/>
  <c r="B258" i="1"/>
  <c r="C258" i="1"/>
  <c r="B287" i="1"/>
  <c r="C287" i="1"/>
  <c r="B300" i="1"/>
  <c r="C300" i="1"/>
  <c r="B222" i="1"/>
  <c r="C222" i="1"/>
  <c r="B241" i="1"/>
  <c r="C241" i="1"/>
  <c r="B259" i="1"/>
  <c r="C259" i="1"/>
  <c r="B223" i="1"/>
  <c r="C223" i="1"/>
  <c r="B242" i="1"/>
  <c r="C242" i="1"/>
  <c r="B301" i="1"/>
  <c r="C301" i="1"/>
  <c r="B224" i="1"/>
  <c r="C224" i="1"/>
  <c r="B243" i="1"/>
  <c r="C243" i="1"/>
  <c r="B260" i="1"/>
  <c r="C260" i="1"/>
  <c r="B274" i="1"/>
  <c r="C274" i="1"/>
  <c r="B288" i="1"/>
  <c r="C288" i="1"/>
  <c r="B302" i="1"/>
  <c r="C302" i="1"/>
  <c r="B225" i="1"/>
  <c r="C225" i="1"/>
  <c r="B244" i="1"/>
  <c r="C244" i="1"/>
  <c r="B261" i="1"/>
  <c r="C261" i="1"/>
  <c r="B275" i="1"/>
  <c r="C275" i="1"/>
  <c r="B289" i="1"/>
  <c r="C289" i="1"/>
  <c r="B303" i="1"/>
  <c r="C303" i="1"/>
  <c r="B226" i="1"/>
  <c r="C226" i="1"/>
  <c r="B245" i="1"/>
  <c r="C245" i="1"/>
  <c r="B262" i="1"/>
  <c r="C262" i="1"/>
  <c r="B227" i="1"/>
  <c r="C227" i="1"/>
  <c r="B246" i="1"/>
  <c r="C246" i="1"/>
  <c r="B263" i="1"/>
  <c r="C263" i="1"/>
  <c r="B276" i="1"/>
  <c r="C276" i="1"/>
  <c r="B290" i="1"/>
  <c r="C290" i="1"/>
  <c r="B304" i="1"/>
  <c r="C304" i="1"/>
  <c r="B228" i="1"/>
  <c r="C228" i="1"/>
  <c r="B247" i="1"/>
  <c r="C247" i="1"/>
  <c r="B264" i="1"/>
  <c r="C264" i="1"/>
  <c r="B277" i="1"/>
  <c r="C277" i="1"/>
  <c r="B291" i="1"/>
  <c r="C291" i="1"/>
  <c r="B305" i="1"/>
  <c r="C305" i="1"/>
  <c r="B229" i="1"/>
  <c r="C229" i="1"/>
  <c r="B248" i="1"/>
  <c r="C248" i="1"/>
  <c r="B265" i="1"/>
  <c r="C265" i="1"/>
  <c r="B278" i="1"/>
  <c r="C278" i="1"/>
  <c r="B292" i="1"/>
  <c r="C292" i="1"/>
  <c r="B306" i="1"/>
  <c r="C306" i="1"/>
  <c r="B230" i="1"/>
  <c r="C230" i="1"/>
  <c r="B249" i="1"/>
  <c r="C249" i="1"/>
  <c r="B266" i="1"/>
  <c r="C266" i="1"/>
  <c r="B231" i="1"/>
  <c r="C231" i="1"/>
  <c r="B250" i="1"/>
  <c r="C250" i="1"/>
  <c r="B267" i="1"/>
  <c r="C267" i="1"/>
  <c r="B279" i="1"/>
  <c r="C279" i="1"/>
  <c r="B293" i="1"/>
  <c r="C293" i="1"/>
  <c r="B307" i="1"/>
  <c r="C307" i="1"/>
  <c r="B232" i="1"/>
  <c r="C232" i="1"/>
  <c r="B251" i="1"/>
  <c r="C251" i="1"/>
  <c r="B268" i="1"/>
  <c r="C268" i="1"/>
  <c r="B280" i="1"/>
  <c r="C280" i="1"/>
  <c r="B294" i="1"/>
  <c r="C294" i="1"/>
  <c r="B308" i="1"/>
  <c r="C308" i="1"/>
  <c r="B233" i="1"/>
  <c r="C233" i="1"/>
  <c r="B252" i="1"/>
  <c r="C252" i="1"/>
  <c r="B269" i="1"/>
  <c r="C269" i="1"/>
  <c r="B281" i="1"/>
  <c r="C281" i="1"/>
  <c r="B295" i="1"/>
  <c r="C295" i="1"/>
  <c r="B309" i="1"/>
  <c r="C309" i="1"/>
  <c r="B234" i="1"/>
  <c r="C234" i="1"/>
  <c r="B253" i="1"/>
  <c r="C253" i="1"/>
  <c r="B282" i="1"/>
  <c r="C282" i="1"/>
  <c r="B296" i="1"/>
  <c r="C296" i="1"/>
  <c r="B310" i="1"/>
  <c r="C310" i="1"/>
  <c r="B235" i="1"/>
  <c r="C235" i="1"/>
  <c r="B254" i="1"/>
  <c r="C254" i="1"/>
  <c r="B270" i="1"/>
  <c r="C270" i="1"/>
  <c r="B283" i="1"/>
  <c r="C283" i="1"/>
  <c r="B297" i="1"/>
  <c r="C297" i="1"/>
  <c r="B311" i="1"/>
  <c r="C311" i="1"/>
  <c r="B236" i="1"/>
  <c r="C236" i="1"/>
  <c r="B255" i="1"/>
  <c r="C255" i="1"/>
  <c r="B271" i="1"/>
  <c r="C271" i="1"/>
  <c r="B284" i="1"/>
  <c r="C284" i="1"/>
  <c r="B298" i="1"/>
  <c r="C298" i="1"/>
  <c r="B312" i="1"/>
  <c r="C312" i="1"/>
  <c r="I200" i="1"/>
  <c r="I201" i="1"/>
  <c r="I202" i="1"/>
  <c r="I203" i="1"/>
  <c r="I204" i="1"/>
  <c r="I205" i="1"/>
  <c r="I206" i="1"/>
  <c r="I207" i="1"/>
  <c r="L207" i="1" s="1"/>
  <c r="I208" i="1"/>
  <c r="I209" i="1"/>
  <c r="I210" i="1"/>
  <c r="I211" i="1"/>
  <c r="I212" i="1"/>
  <c r="I213" i="1"/>
  <c r="I214" i="1"/>
  <c r="I215" i="1"/>
  <c r="I216" i="1"/>
  <c r="I217" i="1"/>
  <c r="I218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I166" i="1"/>
  <c r="N166" i="1" s="1"/>
  <c r="I167" i="1"/>
  <c r="N167" i="1" s="1"/>
  <c r="I168" i="1"/>
  <c r="N168" i="1" s="1"/>
  <c r="I169" i="1"/>
  <c r="I170" i="1"/>
  <c r="I171" i="1"/>
  <c r="N171" i="1" s="1"/>
  <c r="I172" i="1"/>
  <c r="N172" i="1" s="1"/>
  <c r="I173" i="1"/>
  <c r="N173" i="1" s="1"/>
  <c r="I174" i="1"/>
  <c r="N174" i="1" s="1"/>
  <c r="I175" i="1"/>
  <c r="N175" i="1" s="1"/>
  <c r="I176" i="1"/>
  <c r="K176" i="1" s="1"/>
  <c r="I177" i="1"/>
  <c r="N177" i="1" s="1"/>
  <c r="I178" i="1"/>
  <c r="N178" i="1" s="1"/>
  <c r="I179" i="1"/>
  <c r="N179" i="1" s="1"/>
  <c r="I180" i="1"/>
  <c r="N180" i="1" s="1"/>
  <c r="I181" i="1"/>
  <c r="N181" i="1" s="1"/>
  <c r="I182" i="1"/>
  <c r="N182" i="1" s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I21" i="1"/>
  <c r="N21" i="1" s="1"/>
  <c r="I39" i="1"/>
  <c r="I58" i="1"/>
  <c r="N58" i="1" s="1"/>
  <c r="I77" i="1"/>
  <c r="I93" i="1"/>
  <c r="I112" i="1"/>
  <c r="N112" i="1" s="1"/>
  <c r="I130" i="1"/>
  <c r="N130" i="1" s="1"/>
  <c r="I22" i="1"/>
  <c r="I40" i="1"/>
  <c r="N40" i="1" s="1"/>
  <c r="I59" i="1"/>
  <c r="N59" i="1" s="1"/>
  <c r="I94" i="1"/>
  <c r="N94" i="1" s="1"/>
  <c r="I113" i="1"/>
  <c r="N113" i="1" s="1"/>
  <c r="I131" i="1"/>
  <c r="I23" i="1"/>
  <c r="N23" i="1" s="1"/>
  <c r="I41" i="1"/>
  <c r="M41" i="1" s="1"/>
  <c r="I60" i="1"/>
  <c r="N60" i="1" s="1"/>
  <c r="I78" i="1"/>
  <c r="N78" i="1" s="1"/>
  <c r="I95" i="1"/>
  <c r="N95" i="1" s="1"/>
  <c r="I114" i="1"/>
  <c r="N114" i="1" s="1"/>
  <c r="I132" i="1"/>
  <c r="I24" i="1"/>
  <c r="N24" i="1" s="1"/>
  <c r="I42" i="1"/>
  <c r="I61" i="1"/>
  <c r="I79" i="1"/>
  <c r="I96" i="1"/>
  <c r="K96" i="1" s="1"/>
  <c r="I115" i="1"/>
  <c r="I133" i="1"/>
  <c r="N133" i="1" s="1"/>
  <c r="I43" i="1"/>
  <c r="I62" i="1"/>
  <c r="I80" i="1"/>
  <c r="N80" i="1" s="1"/>
  <c r="I97" i="1"/>
  <c r="I116" i="1"/>
  <c r="N116" i="1" s="1"/>
  <c r="I134" i="1"/>
  <c r="I25" i="1"/>
  <c r="N25" i="1" s="1"/>
  <c r="I44" i="1"/>
  <c r="I63" i="1"/>
  <c r="I81" i="1"/>
  <c r="I98" i="1"/>
  <c r="N98" i="1" s="1"/>
  <c r="I117" i="1"/>
  <c r="I135" i="1"/>
  <c r="N135" i="1" s="1"/>
  <c r="I26" i="1"/>
  <c r="N26" i="1" s="1"/>
  <c r="I45" i="1"/>
  <c r="I64" i="1"/>
  <c r="I82" i="1"/>
  <c r="I99" i="1"/>
  <c r="I118" i="1"/>
  <c r="K118" i="1" s="1"/>
  <c r="I136" i="1"/>
  <c r="N136" i="1" s="1"/>
  <c r="I27" i="1"/>
  <c r="I46" i="1"/>
  <c r="N46" i="1" s="1"/>
  <c r="I65" i="1"/>
  <c r="L65" i="1" s="1"/>
  <c r="I83" i="1"/>
  <c r="K83" i="1" s="1"/>
  <c r="I100" i="1"/>
  <c r="N100" i="1" s="1"/>
  <c r="I119" i="1"/>
  <c r="L119" i="1" s="1"/>
  <c r="I137" i="1"/>
  <c r="I28" i="1"/>
  <c r="N28" i="1" s="1"/>
  <c r="I47" i="1"/>
  <c r="I66" i="1"/>
  <c r="N66" i="1" s="1"/>
  <c r="I84" i="1"/>
  <c r="I101" i="1"/>
  <c r="N101" i="1" s="1"/>
  <c r="I120" i="1"/>
  <c r="I138" i="1"/>
  <c r="I29" i="1"/>
  <c r="N29" i="1" s="1"/>
  <c r="I48" i="1"/>
  <c r="N48" i="1" s="1"/>
  <c r="I67" i="1"/>
  <c r="N67" i="1" s="1"/>
  <c r="I85" i="1"/>
  <c r="N85" i="1" s="1"/>
  <c r="I102" i="1"/>
  <c r="N102" i="1" s="1"/>
  <c r="I121" i="1"/>
  <c r="N121" i="1" s="1"/>
  <c r="I139" i="1"/>
  <c r="I30" i="1"/>
  <c r="N30" i="1" s="1"/>
  <c r="I49" i="1"/>
  <c r="I68" i="1"/>
  <c r="N68" i="1" s="1"/>
  <c r="I86" i="1"/>
  <c r="M86" i="1" s="1"/>
  <c r="I103" i="1"/>
  <c r="N103" i="1" s="1"/>
  <c r="I122" i="1"/>
  <c r="N122" i="1" s="1"/>
  <c r="I140" i="1"/>
  <c r="M140" i="1" s="1"/>
  <c r="I31" i="1"/>
  <c r="I50" i="1"/>
  <c r="N50" i="1" s="1"/>
  <c r="I69" i="1"/>
  <c r="I87" i="1"/>
  <c r="N87" i="1" s="1"/>
  <c r="I104" i="1"/>
  <c r="I123" i="1"/>
  <c r="M123" i="1" s="1"/>
  <c r="I141" i="1"/>
  <c r="I32" i="1"/>
  <c r="N32" i="1" s="1"/>
  <c r="I51" i="1"/>
  <c r="I70" i="1"/>
  <c r="N70" i="1" s="1"/>
  <c r="I88" i="1"/>
  <c r="I105" i="1"/>
  <c r="N105" i="1" s="1"/>
  <c r="I124" i="1"/>
  <c r="N124" i="1" s="1"/>
  <c r="I142" i="1"/>
  <c r="N142" i="1" s="1"/>
  <c r="I33" i="1"/>
  <c r="I52" i="1"/>
  <c r="N52" i="1" s="1"/>
  <c r="I71" i="1"/>
  <c r="N71" i="1" s="1"/>
  <c r="I89" i="1"/>
  <c r="I106" i="1"/>
  <c r="N106" i="1" s="1"/>
  <c r="I125" i="1"/>
  <c r="N125" i="1" s="1"/>
  <c r="I143" i="1"/>
  <c r="I34" i="1"/>
  <c r="I53" i="1"/>
  <c r="N53" i="1" s="1"/>
  <c r="I72" i="1"/>
  <c r="N72" i="1" s="1"/>
  <c r="I90" i="1"/>
  <c r="N90" i="1" s="1"/>
  <c r="I107" i="1"/>
  <c r="N107" i="1" s="1"/>
  <c r="I126" i="1"/>
  <c r="N126" i="1" s="1"/>
  <c r="I144" i="1"/>
  <c r="N144" i="1" s="1"/>
  <c r="I35" i="1"/>
  <c r="N35" i="1" s="1"/>
  <c r="I54" i="1"/>
  <c r="N54" i="1" s="1"/>
  <c r="I73" i="1"/>
  <c r="N73" i="1" s="1"/>
  <c r="I108" i="1"/>
  <c r="I127" i="1"/>
  <c r="N127" i="1" s="1"/>
  <c r="I145" i="1"/>
  <c r="N145" i="1" s="1"/>
  <c r="I36" i="1"/>
  <c r="N36" i="1" s="1"/>
  <c r="I55" i="1"/>
  <c r="N55" i="1" s="1"/>
  <c r="I74" i="1"/>
  <c r="I91" i="1"/>
  <c r="I109" i="1"/>
  <c r="N109" i="1" s="1"/>
  <c r="I146" i="1"/>
  <c r="I37" i="1"/>
  <c r="N37" i="1" s="1"/>
  <c r="I56" i="1"/>
  <c r="I75" i="1"/>
  <c r="M75" i="1" s="1"/>
  <c r="I92" i="1"/>
  <c r="I110" i="1"/>
  <c r="I128" i="1"/>
  <c r="N128" i="1" s="1"/>
  <c r="I147" i="1"/>
  <c r="I38" i="1"/>
  <c r="I57" i="1"/>
  <c r="N57" i="1" s="1"/>
  <c r="I76" i="1"/>
  <c r="N76" i="1" s="1"/>
  <c r="I111" i="1"/>
  <c r="N111" i="1" s="1"/>
  <c r="I129" i="1"/>
  <c r="L129" i="1" s="1"/>
  <c r="I148" i="1"/>
  <c r="N148" i="1" s="1"/>
  <c r="B21" i="1"/>
  <c r="C21" i="1"/>
  <c r="B39" i="1"/>
  <c r="C39" i="1"/>
  <c r="B58" i="1"/>
  <c r="C58" i="1"/>
  <c r="B77" i="1"/>
  <c r="C77" i="1"/>
  <c r="B93" i="1"/>
  <c r="C93" i="1"/>
  <c r="B112" i="1"/>
  <c r="C112" i="1"/>
  <c r="B130" i="1"/>
  <c r="C130" i="1"/>
  <c r="B22" i="1"/>
  <c r="C22" i="1"/>
  <c r="B40" i="1"/>
  <c r="C40" i="1"/>
  <c r="B59" i="1"/>
  <c r="C59" i="1"/>
  <c r="B94" i="1"/>
  <c r="C94" i="1"/>
  <c r="B113" i="1"/>
  <c r="C113" i="1"/>
  <c r="B131" i="1"/>
  <c r="C131" i="1"/>
  <c r="B23" i="1"/>
  <c r="C23" i="1"/>
  <c r="B41" i="1"/>
  <c r="C41" i="1"/>
  <c r="B60" i="1"/>
  <c r="C60" i="1"/>
  <c r="B78" i="1"/>
  <c r="C78" i="1"/>
  <c r="B95" i="1"/>
  <c r="C95" i="1"/>
  <c r="B114" i="1"/>
  <c r="C114" i="1"/>
  <c r="B132" i="1"/>
  <c r="C132" i="1"/>
  <c r="B24" i="1"/>
  <c r="C24" i="1"/>
  <c r="B42" i="1"/>
  <c r="C42" i="1"/>
  <c r="B61" i="1"/>
  <c r="C61" i="1"/>
  <c r="B79" i="1"/>
  <c r="C79" i="1"/>
  <c r="B96" i="1"/>
  <c r="C96" i="1"/>
  <c r="B115" i="1"/>
  <c r="C115" i="1"/>
  <c r="B133" i="1"/>
  <c r="C133" i="1"/>
  <c r="B43" i="1"/>
  <c r="C43" i="1"/>
  <c r="B62" i="1"/>
  <c r="C62" i="1"/>
  <c r="B80" i="1"/>
  <c r="C80" i="1"/>
  <c r="B97" i="1"/>
  <c r="C97" i="1"/>
  <c r="B116" i="1"/>
  <c r="C116" i="1"/>
  <c r="B134" i="1"/>
  <c r="C134" i="1"/>
  <c r="B25" i="1"/>
  <c r="C25" i="1"/>
  <c r="B44" i="1"/>
  <c r="C44" i="1"/>
  <c r="B63" i="1"/>
  <c r="C63" i="1"/>
  <c r="B81" i="1"/>
  <c r="C81" i="1"/>
  <c r="B98" i="1"/>
  <c r="C98" i="1"/>
  <c r="B117" i="1"/>
  <c r="C117" i="1"/>
  <c r="B135" i="1"/>
  <c r="C135" i="1"/>
  <c r="B26" i="1"/>
  <c r="C26" i="1"/>
  <c r="B45" i="1"/>
  <c r="C45" i="1"/>
  <c r="B64" i="1"/>
  <c r="C64" i="1"/>
  <c r="B82" i="1"/>
  <c r="C82" i="1"/>
  <c r="B99" i="1"/>
  <c r="C99" i="1"/>
  <c r="B118" i="1"/>
  <c r="C118" i="1"/>
  <c r="B136" i="1"/>
  <c r="C136" i="1"/>
  <c r="B27" i="1"/>
  <c r="C27" i="1"/>
  <c r="B46" i="1"/>
  <c r="C46" i="1"/>
  <c r="B65" i="1"/>
  <c r="C65" i="1"/>
  <c r="B83" i="1"/>
  <c r="C83" i="1"/>
  <c r="B100" i="1"/>
  <c r="C100" i="1"/>
  <c r="B119" i="1"/>
  <c r="C119" i="1"/>
  <c r="B137" i="1"/>
  <c r="C137" i="1"/>
  <c r="B28" i="1"/>
  <c r="C28" i="1"/>
  <c r="B47" i="1"/>
  <c r="C47" i="1"/>
  <c r="B66" i="1"/>
  <c r="C66" i="1"/>
  <c r="B84" i="1"/>
  <c r="C84" i="1"/>
  <c r="B101" i="1"/>
  <c r="C101" i="1"/>
  <c r="B120" i="1"/>
  <c r="C120" i="1"/>
  <c r="B138" i="1"/>
  <c r="C138" i="1"/>
  <c r="B29" i="1"/>
  <c r="C29" i="1"/>
  <c r="B48" i="1"/>
  <c r="C48" i="1"/>
  <c r="B67" i="1"/>
  <c r="C67" i="1"/>
  <c r="B85" i="1"/>
  <c r="C85" i="1"/>
  <c r="B102" i="1"/>
  <c r="C102" i="1"/>
  <c r="B121" i="1"/>
  <c r="C121" i="1"/>
  <c r="B139" i="1"/>
  <c r="C139" i="1"/>
  <c r="B30" i="1"/>
  <c r="C30" i="1"/>
  <c r="B49" i="1"/>
  <c r="C49" i="1"/>
  <c r="B68" i="1"/>
  <c r="C68" i="1"/>
  <c r="B86" i="1"/>
  <c r="C86" i="1"/>
  <c r="B103" i="1"/>
  <c r="C103" i="1"/>
  <c r="B122" i="1"/>
  <c r="C122" i="1"/>
  <c r="B140" i="1"/>
  <c r="C140" i="1"/>
  <c r="B31" i="1"/>
  <c r="C31" i="1"/>
  <c r="B50" i="1"/>
  <c r="C50" i="1"/>
  <c r="B69" i="1"/>
  <c r="C69" i="1"/>
  <c r="B87" i="1"/>
  <c r="C87" i="1"/>
  <c r="B104" i="1"/>
  <c r="C104" i="1"/>
  <c r="B123" i="1"/>
  <c r="C123" i="1"/>
  <c r="B141" i="1"/>
  <c r="C141" i="1"/>
  <c r="B32" i="1"/>
  <c r="C32" i="1"/>
  <c r="B51" i="1"/>
  <c r="C51" i="1"/>
  <c r="B70" i="1"/>
  <c r="C70" i="1"/>
  <c r="B88" i="1"/>
  <c r="C88" i="1"/>
  <c r="B105" i="1"/>
  <c r="C105" i="1"/>
  <c r="B124" i="1"/>
  <c r="C124" i="1"/>
  <c r="B142" i="1"/>
  <c r="C142" i="1"/>
  <c r="B33" i="1"/>
  <c r="C33" i="1"/>
  <c r="B52" i="1"/>
  <c r="C52" i="1"/>
  <c r="B71" i="1"/>
  <c r="C71" i="1"/>
  <c r="B89" i="1"/>
  <c r="C89" i="1"/>
  <c r="B106" i="1"/>
  <c r="C106" i="1"/>
  <c r="B125" i="1"/>
  <c r="C125" i="1"/>
  <c r="B143" i="1"/>
  <c r="C143" i="1"/>
  <c r="B34" i="1"/>
  <c r="C34" i="1"/>
  <c r="B53" i="1"/>
  <c r="C53" i="1"/>
  <c r="B72" i="1"/>
  <c r="C72" i="1"/>
  <c r="B90" i="1"/>
  <c r="C90" i="1"/>
  <c r="B107" i="1"/>
  <c r="C107" i="1"/>
  <c r="B126" i="1"/>
  <c r="C126" i="1"/>
  <c r="B144" i="1"/>
  <c r="C144" i="1"/>
  <c r="B35" i="1"/>
  <c r="C35" i="1"/>
  <c r="B54" i="1"/>
  <c r="C54" i="1"/>
  <c r="B73" i="1"/>
  <c r="C73" i="1"/>
  <c r="B108" i="1"/>
  <c r="C108" i="1"/>
  <c r="B127" i="1"/>
  <c r="C127" i="1"/>
  <c r="B145" i="1"/>
  <c r="C145" i="1"/>
  <c r="B36" i="1"/>
  <c r="C36" i="1"/>
  <c r="B55" i="1"/>
  <c r="C55" i="1"/>
  <c r="B74" i="1"/>
  <c r="C74" i="1"/>
  <c r="B91" i="1"/>
  <c r="C91" i="1"/>
  <c r="B109" i="1"/>
  <c r="C109" i="1"/>
  <c r="B146" i="1"/>
  <c r="C146" i="1"/>
  <c r="B37" i="1"/>
  <c r="C37" i="1"/>
  <c r="B56" i="1"/>
  <c r="C56" i="1"/>
  <c r="B75" i="1"/>
  <c r="C75" i="1"/>
  <c r="B92" i="1"/>
  <c r="C92" i="1"/>
  <c r="B110" i="1"/>
  <c r="C110" i="1"/>
  <c r="B128" i="1"/>
  <c r="C128" i="1"/>
  <c r="B147" i="1"/>
  <c r="C147" i="1"/>
  <c r="B38" i="1"/>
  <c r="C38" i="1"/>
  <c r="B57" i="1"/>
  <c r="C57" i="1"/>
  <c r="B76" i="1"/>
  <c r="C76" i="1"/>
  <c r="B111" i="1"/>
  <c r="C111" i="1"/>
  <c r="B129" i="1"/>
  <c r="C129" i="1"/>
  <c r="B148" i="1"/>
  <c r="C148" i="1"/>
  <c r="I2" i="1"/>
  <c r="L2" i="1" s="1"/>
  <c r="I3" i="1"/>
  <c r="L3" i="1" s="1"/>
  <c r="I4" i="1"/>
  <c r="I5" i="1"/>
  <c r="L5" i="1" s="1"/>
  <c r="I6" i="1"/>
  <c r="N6" i="1" s="1"/>
  <c r="I7" i="1"/>
  <c r="L7" i="1" s="1"/>
  <c r="I8" i="1"/>
  <c r="I9" i="1"/>
  <c r="I10" i="1"/>
  <c r="I11" i="1"/>
  <c r="L11" i="1" s="1"/>
  <c r="I12" i="1"/>
  <c r="I13" i="1"/>
  <c r="I14" i="1"/>
  <c r="L14" i="1" s="1"/>
  <c r="I15" i="1"/>
  <c r="I16" i="1"/>
  <c r="L16" i="1" s="1"/>
  <c r="I17" i="1"/>
  <c r="L17" i="1" s="1"/>
  <c r="I18" i="1"/>
  <c r="I19" i="1"/>
  <c r="K19" i="1" s="1"/>
  <c r="I20" i="1"/>
  <c r="L20" i="1" s="1"/>
  <c r="B2" i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N768" i="1" l="1"/>
  <c r="L781" i="1"/>
  <c r="M768" i="1"/>
  <c r="L762" i="1"/>
  <c r="N765" i="1"/>
  <c r="N764" i="1"/>
  <c r="M781" i="1"/>
  <c r="N782" i="1"/>
  <c r="N778" i="1"/>
  <c r="M778" i="1"/>
  <c r="N762" i="1"/>
  <c r="M765" i="1"/>
  <c r="M761" i="1"/>
  <c r="N770" i="1"/>
  <c r="M770" i="1"/>
  <c r="L776" i="1"/>
  <c r="M760" i="1"/>
  <c r="K784" i="1"/>
  <c r="K775" i="1"/>
  <c r="N773" i="1"/>
  <c r="K764" i="1"/>
  <c r="N775" i="1"/>
  <c r="M773" i="1"/>
  <c r="N784" i="1"/>
  <c r="M782" i="1"/>
  <c r="N767" i="1"/>
  <c r="K779" i="1"/>
  <c r="M767" i="1"/>
  <c r="N760" i="1"/>
  <c r="N771" i="1"/>
  <c r="N779" i="1"/>
  <c r="M771" i="1"/>
  <c r="N776" i="1"/>
  <c r="N761" i="1"/>
  <c r="N783" i="1"/>
  <c r="N769" i="1"/>
  <c r="N780" i="1"/>
  <c r="N766" i="1"/>
  <c r="N777" i="1"/>
  <c r="N763" i="1"/>
  <c r="N774" i="1"/>
  <c r="N772" i="1"/>
  <c r="M783" i="1"/>
  <c r="M769" i="1"/>
  <c r="M780" i="1"/>
  <c r="M766" i="1"/>
  <c r="M777" i="1"/>
  <c r="M763" i="1"/>
  <c r="M774" i="1"/>
  <c r="M772" i="1"/>
  <c r="M752" i="1"/>
  <c r="N752" i="1"/>
  <c r="L759" i="1"/>
  <c r="N750" i="1"/>
  <c r="M721" i="1"/>
  <c r="M750" i="1"/>
  <c r="N685" i="1"/>
  <c r="M685" i="1"/>
  <c r="L757" i="1"/>
  <c r="L754" i="1"/>
  <c r="M719" i="1"/>
  <c r="N749" i="1"/>
  <c r="M697" i="1"/>
  <c r="M749" i="1"/>
  <c r="K723" i="1"/>
  <c r="M746" i="1"/>
  <c r="N706" i="1"/>
  <c r="M717" i="1"/>
  <c r="K690" i="1"/>
  <c r="M707" i="1"/>
  <c r="M691" i="1"/>
  <c r="N753" i="1"/>
  <c r="M668" i="1"/>
  <c r="N696" i="1"/>
  <c r="N694" i="1"/>
  <c r="N718" i="1"/>
  <c r="L741" i="1"/>
  <c r="M699" i="1"/>
  <c r="N723" i="1"/>
  <c r="N748" i="1"/>
  <c r="M705" i="1"/>
  <c r="N710" i="1"/>
  <c r="N757" i="1"/>
  <c r="N747" i="1"/>
  <c r="N731" i="1"/>
  <c r="M736" i="1"/>
  <c r="M751" i="1"/>
  <c r="K659" i="1"/>
  <c r="K676" i="1"/>
  <c r="N719" i="1"/>
  <c r="N756" i="1"/>
  <c r="M756" i="1"/>
  <c r="N751" i="1"/>
  <c r="K697" i="1"/>
  <c r="N663" i="1"/>
  <c r="K691" i="1"/>
  <c r="N759" i="1"/>
  <c r="N755" i="1"/>
  <c r="M747" i="1"/>
  <c r="N707" i="1"/>
  <c r="M715" i="1"/>
  <c r="N700" i="1"/>
  <c r="N698" i="1"/>
  <c r="M755" i="1"/>
  <c r="M722" i="1"/>
  <c r="L695" i="1"/>
  <c r="M743" i="1"/>
  <c r="K715" i="1"/>
  <c r="M731" i="1"/>
  <c r="K703" i="1"/>
  <c r="N659" i="1"/>
  <c r="N720" i="1"/>
  <c r="N725" i="1"/>
  <c r="N758" i="1"/>
  <c r="M720" i="1"/>
  <c r="M725" i="1"/>
  <c r="K684" i="1"/>
  <c r="K692" i="1"/>
  <c r="M758" i="1"/>
  <c r="K743" i="1"/>
  <c r="N754" i="1"/>
  <c r="M655" i="1"/>
  <c r="N650" i="1"/>
  <c r="K675" i="1"/>
  <c r="N746" i="1"/>
  <c r="N689" i="1"/>
  <c r="N736" i="1"/>
  <c r="K710" i="1"/>
  <c r="K706" i="1"/>
  <c r="M700" i="1"/>
  <c r="K712" i="1"/>
  <c r="K753" i="1"/>
  <c r="N695" i="1"/>
  <c r="M694" i="1"/>
  <c r="N717" i="1"/>
  <c r="M690" i="1"/>
  <c r="M714" i="1"/>
  <c r="L687" i="1"/>
  <c r="K726" i="1"/>
  <c r="N722" i="1"/>
  <c r="K689" i="1"/>
  <c r="M748" i="1"/>
  <c r="N709" i="1"/>
  <c r="M732" i="1"/>
  <c r="M744" i="1"/>
  <c r="M693" i="1"/>
  <c r="L729" i="1"/>
  <c r="N741" i="1"/>
  <c r="N702" i="1"/>
  <c r="L738" i="1"/>
  <c r="N687" i="1"/>
  <c r="M711" i="1"/>
  <c r="M735" i="1"/>
  <c r="M684" i="1"/>
  <c r="K701" i="1"/>
  <c r="M709" i="1"/>
  <c r="N721" i="1"/>
  <c r="N705" i="1"/>
  <c r="M702" i="1"/>
  <c r="N714" i="1"/>
  <c r="N699" i="1"/>
  <c r="L711" i="1"/>
  <c r="K704" i="1"/>
  <c r="N648" i="1"/>
  <c r="K742" i="1"/>
  <c r="K732" i="1"/>
  <c r="K708" i="1"/>
  <c r="K681" i="1"/>
  <c r="M696" i="1"/>
  <c r="N708" i="1"/>
  <c r="N692" i="1"/>
  <c r="N728" i="1"/>
  <c r="N740" i="1"/>
  <c r="N701" i="1"/>
  <c r="N737" i="1"/>
  <c r="N686" i="1"/>
  <c r="M698" i="1"/>
  <c r="N668" i="1"/>
  <c r="N734" i="1"/>
  <c r="N730" i="1"/>
  <c r="M728" i="1"/>
  <c r="M740" i="1"/>
  <c r="N713" i="1"/>
  <c r="M737" i="1"/>
  <c r="M686" i="1"/>
  <c r="K733" i="1"/>
  <c r="M734" i="1"/>
  <c r="N745" i="1"/>
  <c r="M730" i="1"/>
  <c r="N704" i="1"/>
  <c r="N739" i="1"/>
  <c r="M713" i="1"/>
  <c r="K735" i="1"/>
  <c r="K727" i="1"/>
  <c r="K693" i="1"/>
  <c r="M745" i="1"/>
  <c r="N742" i="1"/>
  <c r="N716" i="1"/>
  <c r="N727" i="1"/>
  <c r="M739" i="1"/>
  <c r="N688" i="1"/>
  <c r="N724" i="1"/>
  <c r="M716" i="1"/>
  <c r="M688" i="1"/>
  <c r="M724" i="1"/>
  <c r="N670" i="1"/>
  <c r="K650" i="1"/>
  <c r="K670" i="1"/>
  <c r="M676" i="1"/>
  <c r="N733" i="1"/>
  <c r="M718" i="1"/>
  <c r="N729" i="1"/>
  <c r="N703" i="1"/>
  <c r="N726" i="1"/>
  <c r="N738" i="1"/>
  <c r="N712" i="1"/>
  <c r="K744" i="1"/>
  <c r="N664" i="1"/>
  <c r="N646" i="1"/>
  <c r="M654" i="1"/>
  <c r="M646" i="1"/>
  <c r="N679" i="1"/>
  <c r="M679" i="1"/>
  <c r="M649" i="1"/>
  <c r="N671" i="1"/>
  <c r="N657" i="1"/>
  <c r="N653" i="1"/>
  <c r="M663" i="1"/>
  <c r="M653" i="1"/>
  <c r="M647" i="1"/>
  <c r="N678" i="1"/>
  <c r="N672" i="1"/>
  <c r="N682" i="1"/>
  <c r="K678" i="1"/>
  <c r="M672" i="1"/>
  <c r="N665" i="1"/>
  <c r="N681" i="1"/>
  <c r="K665" i="1"/>
  <c r="M669" i="1"/>
  <c r="N666" i="1"/>
  <c r="M652" i="1"/>
  <c r="N661" i="1"/>
  <c r="K647" i="1"/>
  <c r="N680" i="1"/>
  <c r="M677" i="1"/>
  <c r="M674" i="1"/>
  <c r="K669" i="1"/>
  <c r="N655" i="1"/>
  <c r="M666" i="1"/>
  <c r="K652" i="1"/>
  <c r="M661" i="1"/>
  <c r="N683" i="1"/>
  <c r="M680" i="1"/>
  <c r="K677" i="1"/>
  <c r="K674" i="1"/>
  <c r="M683" i="1"/>
  <c r="N673" i="1"/>
  <c r="M657" i="1"/>
  <c r="N667" i="1"/>
  <c r="M664" i="1"/>
  <c r="M648" i="1"/>
  <c r="M673" i="1"/>
  <c r="M667" i="1"/>
  <c r="N662" i="1"/>
  <c r="M682" i="1"/>
  <c r="N656" i="1"/>
  <c r="N651" i="1"/>
  <c r="M662" i="1"/>
  <c r="N660" i="1"/>
  <c r="M656" i="1"/>
  <c r="M651" i="1"/>
  <c r="M660" i="1"/>
  <c r="N675" i="1"/>
  <c r="N654" i="1"/>
  <c r="N649" i="1"/>
  <c r="M671" i="1"/>
  <c r="L658" i="1"/>
  <c r="M658" i="1"/>
  <c r="K645" i="1"/>
  <c r="M645" i="1"/>
  <c r="K631" i="1"/>
  <c r="M631" i="1"/>
  <c r="N631" i="1"/>
  <c r="N620" i="1"/>
  <c r="L620" i="1"/>
  <c r="M620" i="1"/>
  <c r="L632" i="1"/>
  <c r="M632" i="1"/>
  <c r="N632" i="1"/>
  <c r="K621" i="1"/>
  <c r="M621" i="1"/>
  <c r="N621" i="1"/>
  <c r="K633" i="1"/>
  <c r="M633" i="1"/>
  <c r="N633" i="1"/>
  <c r="N622" i="1"/>
  <c r="K622" i="1"/>
  <c r="M622" i="1"/>
  <c r="L634" i="1"/>
  <c r="M634" i="1"/>
  <c r="N634" i="1"/>
  <c r="K635" i="1"/>
  <c r="M635" i="1"/>
  <c r="N635" i="1"/>
  <c r="K623" i="1"/>
  <c r="M623" i="1"/>
  <c r="N623" i="1"/>
  <c r="K636" i="1"/>
  <c r="M636" i="1"/>
  <c r="N636" i="1"/>
  <c r="M624" i="1"/>
  <c r="N624" i="1"/>
  <c r="L624" i="1"/>
  <c r="M637" i="1"/>
  <c r="N637" i="1"/>
  <c r="L637" i="1"/>
  <c r="K625" i="1"/>
  <c r="M625" i="1"/>
  <c r="N625" i="1"/>
  <c r="K638" i="1"/>
  <c r="M638" i="1"/>
  <c r="N638" i="1"/>
  <c r="M626" i="1"/>
  <c r="K626" i="1"/>
  <c r="N626" i="1"/>
  <c r="K639" i="1"/>
  <c r="M639" i="1"/>
  <c r="N639" i="1"/>
  <c r="K627" i="1"/>
  <c r="N627" i="1"/>
  <c r="M627" i="1"/>
  <c r="K640" i="1"/>
  <c r="M640" i="1"/>
  <c r="N640" i="1"/>
  <c r="K628" i="1"/>
  <c r="M628" i="1"/>
  <c r="N628" i="1"/>
  <c r="K641" i="1"/>
  <c r="M641" i="1"/>
  <c r="N641" i="1"/>
  <c r="K642" i="1"/>
  <c r="N642" i="1"/>
  <c r="M642" i="1"/>
  <c r="M629" i="1"/>
  <c r="N629" i="1"/>
  <c r="K629" i="1"/>
  <c r="L643" i="1"/>
  <c r="N643" i="1"/>
  <c r="M643" i="1"/>
  <c r="N630" i="1"/>
  <c r="M630" i="1"/>
  <c r="K630" i="1"/>
  <c r="M644" i="1"/>
  <c r="K644" i="1"/>
  <c r="N644" i="1"/>
  <c r="L601" i="1"/>
  <c r="N597" i="1"/>
  <c r="L603" i="1"/>
  <c r="M610" i="1"/>
  <c r="N596" i="1"/>
  <c r="N600" i="1"/>
  <c r="L616" i="1"/>
  <c r="M596" i="1"/>
  <c r="N599" i="1"/>
  <c r="M599" i="1"/>
  <c r="L607" i="1"/>
  <c r="M603" i="1"/>
  <c r="L609" i="1"/>
  <c r="L618" i="1"/>
  <c r="M614" i="1"/>
  <c r="N606" i="1"/>
  <c r="N617" i="1"/>
  <c r="L617" i="1"/>
  <c r="M611" i="1"/>
  <c r="N601" i="1"/>
  <c r="M598" i="1"/>
  <c r="N616" i="1"/>
  <c r="N607" i="1"/>
  <c r="M602" i="1"/>
  <c r="N604" i="1"/>
  <c r="M604" i="1"/>
  <c r="N595" i="1"/>
  <c r="N608" i="1"/>
  <c r="M600" i="1"/>
  <c r="N602" i="1"/>
  <c r="N598" i="1"/>
  <c r="M608" i="1"/>
  <c r="N612" i="1"/>
  <c r="N615" i="1"/>
  <c r="M612" i="1"/>
  <c r="N618" i="1"/>
  <c r="N605" i="1"/>
  <c r="M615" i="1"/>
  <c r="N613" i="1"/>
  <c r="N609" i="1"/>
  <c r="K610" i="1"/>
  <c r="M605" i="1"/>
  <c r="M613" i="1"/>
  <c r="K611" i="1"/>
  <c r="K614" i="1"/>
  <c r="N619" i="1"/>
  <c r="M606" i="1"/>
  <c r="M597" i="1"/>
  <c r="M595" i="1"/>
  <c r="M619" i="1"/>
  <c r="M548" i="1"/>
  <c r="K500" i="1"/>
  <c r="L572" i="1"/>
  <c r="L577" i="1"/>
  <c r="L594" i="1"/>
  <c r="L581" i="1"/>
  <c r="M537" i="1"/>
  <c r="N563" i="1"/>
  <c r="N570" i="1"/>
  <c r="N576" i="1"/>
  <c r="M574" i="1"/>
  <c r="L479" i="1"/>
  <c r="N591" i="1"/>
  <c r="L591" i="1"/>
  <c r="M576" i="1"/>
  <c r="L560" i="1"/>
  <c r="N557" i="1"/>
  <c r="M585" i="1"/>
  <c r="K372" i="1"/>
  <c r="M526" i="1"/>
  <c r="M520" i="1"/>
  <c r="N531" i="1"/>
  <c r="M560" i="1"/>
  <c r="N467" i="1"/>
  <c r="N583" i="1"/>
  <c r="M467" i="1"/>
  <c r="N525" i="1"/>
  <c r="M583" i="1"/>
  <c r="N422" i="1"/>
  <c r="M494" i="1"/>
  <c r="M500" i="1"/>
  <c r="N573" i="1"/>
  <c r="M575" i="1"/>
  <c r="L558" i="1"/>
  <c r="M571" i="1"/>
  <c r="M594" i="1"/>
  <c r="N551" i="1"/>
  <c r="L571" i="1"/>
  <c r="M570" i="1"/>
  <c r="K517" i="1"/>
  <c r="L569" i="1"/>
  <c r="M565" i="1"/>
  <c r="M489" i="1"/>
  <c r="N592" i="1"/>
  <c r="N572" i="1"/>
  <c r="N511" i="1"/>
  <c r="L592" i="1"/>
  <c r="M588" i="1"/>
  <c r="M586" i="1"/>
  <c r="K545" i="1"/>
  <c r="M563" i="1"/>
  <c r="M410" i="1"/>
  <c r="M515" i="1"/>
  <c r="M580" i="1"/>
  <c r="N575" i="1"/>
  <c r="N586" i="1"/>
  <c r="M551" i="1"/>
  <c r="L562" i="1"/>
  <c r="N561" i="1"/>
  <c r="N413" i="1"/>
  <c r="L483" i="1"/>
  <c r="N519" i="1"/>
  <c r="N559" i="1"/>
  <c r="N589" i="1"/>
  <c r="N584" i="1"/>
  <c r="N550" i="1"/>
  <c r="L561" i="1"/>
  <c r="K497" i="1"/>
  <c r="M559" i="1"/>
  <c r="L578" i="1"/>
  <c r="M589" i="1"/>
  <c r="M566" i="1"/>
  <c r="N552" i="1"/>
  <c r="M584" i="1"/>
  <c r="M550" i="1"/>
  <c r="M582" i="1"/>
  <c r="K417" i="1"/>
  <c r="K543" i="1"/>
  <c r="M552" i="1"/>
  <c r="N506" i="1"/>
  <c r="N502" i="1"/>
  <c r="M540" i="1"/>
  <c r="M415" i="1"/>
  <c r="N472" i="1"/>
  <c r="M506" i="1"/>
  <c r="M502" i="1"/>
  <c r="K540" i="1"/>
  <c r="M593" i="1"/>
  <c r="N558" i="1"/>
  <c r="L557" i="1"/>
  <c r="N587" i="1"/>
  <c r="L582" i="1"/>
  <c r="K415" i="1"/>
  <c r="L481" i="1"/>
  <c r="M567" i="1"/>
  <c r="M587" i="1"/>
  <c r="N577" i="1"/>
  <c r="N562" i="1"/>
  <c r="M417" i="1"/>
  <c r="M487" i="1"/>
  <c r="M543" i="1"/>
  <c r="N528" i="1"/>
  <c r="L547" i="1"/>
  <c r="K548" i="1"/>
  <c r="N569" i="1"/>
  <c r="N568" i="1"/>
  <c r="M549" i="1"/>
  <c r="K507" i="1"/>
  <c r="M538" i="1"/>
  <c r="N593" i="1"/>
  <c r="L579" i="1"/>
  <c r="M568" i="1"/>
  <c r="N588" i="1"/>
  <c r="N574" i="1"/>
  <c r="N585" i="1"/>
  <c r="L549" i="1"/>
  <c r="K573" i="1"/>
  <c r="K554" i="1"/>
  <c r="K566" i="1"/>
  <c r="K555" i="1"/>
  <c r="K567" i="1"/>
  <c r="N565" i="1"/>
  <c r="K590" i="1"/>
  <c r="N377" i="1"/>
  <c r="M413" i="1"/>
  <c r="N579" i="1"/>
  <c r="N578" i="1"/>
  <c r="N590" i="1"/>
  <c r="M556" i="1"/>
  <c r="N555" i="1"/>
  <c r="N554" i="1"/>
  <c r="N553" i="1"/>
  <c r="M564" i="1"/>
  <c r="N581" i="1"/>
  <c r="N547" i="1"/>
  <c r="K580" i="1"/>
  <c r="N556" i="1"/>
  <c r="N564" i="1"/>
  <c r="K553" i="1"/>
  <c r="M377" i="1"/>
  <c r="N520" i="1"/>
  <c r="N517" i="1"/>
  <c r="M398" i="1"/>
  <c r="N482" i="1"/>
  <c r="N501" i="1"/>
  <c r="M534" i="1"/>
  <c r="M364" i="1"/>
  <c r="N488" i="1"/>
  <c r="M482" i="1"/>
  <c r="M510" i="1"/>
  <c r="L488" i="1"/>
  <c r="K513" i="1"/>
  <c r="K510" i="1"/>
  <c r="M545" i="1"/>
  <c r="N538" i="1"/>
  <c r="M475" i="1"/>
  <c r="N494" i="1"/>
  <c r="N487" i="1"/>
  <c r="M503" i="1"/>
  <c r="M497" i="1"/>
  <c r="M541" i="1"/>
  <c r="N421" i="1"/>
  <c r="N504" i="1"/>
  <c r="N363" i="1"/>
  <c r="M421" i="1"/>
  <c r="M472" i="1"/>
  <c r="N486" i="1"/>
  <c r="K519" i="1"/>
  <c r="M504" i="1"/>
  <c r="N533" i="1"/>
  <c r="M363" i="1"/>
  <c r="M479" i="1"/>
  <c r="N491" i="1"/>
  <c r="M486" i="1"/>
  <c r="M496" i="1"/>
  <c r="M533" i="1"/>
  <c r="N379" i="1"/>
  <c r="N387" i="1"/>
  <c r="M501" i="1"/>
  <c r="N532" i="1"/>
  <c r="M379" i="1"/>
  <c r="N483" i="1"/>
  <c r="N503" i="1"/>
  <c r="M546" i="1"/>
  <c r="K532" i="1"/>
  <c r="M529" i="1"/>
  <c r="N430" i="1"/>
  <c r="N481" i="1"/>
  <c r="M478" i="1"/>
  <c r="M473" i="1"/>
  <c r="N507" i="1"/>
  <c r="N518" i="1"/>
  <c r="N514" i="1"/>
  <c r="N546" i="1"/>
  <c r="N541" i="1"/>
  <c r="K528" i="1"/>
  <c r="N526" i="1"/>
  <c r="N524" i="1"/>
  <c r="N478" i="1"/>
  <c r="N473" i="1"/>
  <c r="N364" i="1"/>
  <c r="M430" i="1"/>
  <c r="N489" i="1"/>
  <c r="M518" i="1"/>
  <c r="M514" i="1"/>
  <c r="N544" i="1"/>
  <c r="M524" i="1"/>
  <c r="M544" i="1"/>
  <c r="M531" i="1"/>
  <c r="N539" i="1"/>
  <c r="N534" i="1"/>
  <c r="N529" i="1"/>
  <c r="M539" i="1"/>
  <c r="N542" i="1"/>
  <c r="N537" i="1"/>
  <c r="N406" i="1"/>
  <c r="M422" i="1"/>
  <c r="N463" i="1"/>
  <c r="N480" i="1"/>
  <c r="N476" i="1"/>
  <c r="N521" i="1"/>
  <c r="M406" i="1"/>
  <c r="M463" i="1"/>
  <c r="M480" i="1"/>
  <c r="M476" i="1"/>
  <c r="N493" i="1"/>
  <c r="M521" i="1"/>
  <c r="N515" i="1"/>
  <c r="M542" i="1"/>
  <c r="N527" i="1"/>
  <c r="N523" i="1"/>
  <c r="N388" i="1"/>
  <c r="N431" i="1"/>
  <c r="N412" i="1"/>
  <c r="N471" i="1"/>
  <c r="M493" i="1"/>
  <c r="N513" i="1"/>
  <c r="N498" i="1"/>
  <c r="M527" i="1"/>
  <c r="M523" i="1"/>
  <c r="M388" i="1"/>
  <c r="N398" i="1"/>
  <c r="M431" i="1"/>
  <c r="M412" i="1"/>
  <c r="N410" i="1"/>
  <c r="N475" i="1"/>
  <c r="M471" i="1"/>
  <c r="M498" i="1"/>
  <c r="N496" i="1"/>
  <c r="N530" i="1"/>
  <c r="M525" i="1"/>
  <c r="M530" i="1"/>
  <c r="N522" i="1"/>
  <c r="M522" i="1"/>
  <c r="L512" i="1"/>
  <c r="M512" i="1"/>
  <c r="N512" i="1"/>
  <c r="L535" i="1"/>
  <c r="M535" i="1"/>
  <c r="L536" i="1"/>
  <c r="M536" i="1"/>
  <c r="K516" i="1"/>
  <c r="M516" i="1"/>
  <c r="K508" i="1"/>
  <c r="M508" i="1"/>
  <c r="K484" i="1"/>
  <c r="M484" i="1"/>
  <c r="N484" i="1"/>
  <c r="K361" i="1"/>
  <c r="M361" i="1"/>
  <c r="N361" i="1"/>
  <c r="K423" i="1"/>
  <c r="M423" i="1"/>
  <c r="K474" i="1"/>
  <c r="M474" i="1"/>
  <c r="K477" i="1"/>
  <c r="M477" i="1"/>
  <c r="N477" i="1"/>
  <c r="K465" i="1"/>
  <c r="N465" i="1"/>
  <c r="M465" i="1"/>
  <c r="L509" i="1"/>
  <c r="M509" i="1"/>
  <c r="L400" i="1"/>
  <c r="M400" i="1"/>
  <c r="L384" i="1"/>
  <c r="M384" i="1"/>
  <c r="N384" i="1"/>
  <c r="K490" i="1"/>
  <c r="M490" i="1"/>
  <c r="L393" i="1"/>
  <c r="M393" i="1"/>
  <c r="K495" i="1"/>
  <c r="M495" i="1"/>
  <c r="N495" i="1"/>
  <c r="N461" i="1"/>
  <c r="L461" i="1"/>
  <c r="M462" i="1"/>
  <c r="L462" i="1"/>
  <c r="L466" i="1"/>
  <c r="M466" i="1"/>
  <c r="N466" i="1"/>
  <c r="K424" i="1"/>
  <c r="M424" i="1"/>
  <c r="K425" i="1"/>
  <c r="M425" i="1"/>
  <c r="N425" i="1"/>
  <c r="K429" i="1"/>
  <c r="N429" i="1"/>
  <c r="K369" i="1"/>
  <c r="M369" i="1"/>
  <c r="K411" i="1"/>
  <c r="M411" i="1"/>
  <c r="N470" i="1"/>
  <c r="L470" i="1"/>
  <c r="M470" i="1"/>
  <c r="L405" i="1"/>
  <c r="M405" i="1"/>
  <c r="N405" i="1"/>
  <c r="L428" i="1"/>
  <c r="M428" i="1"/>
  <c r="N428" i="1"/>
  <c r="N426" i="1"/>
  <c r="K426" i="1"/>
  <c r="L414" i="1"/>
  <c r="M414" i="1"/>
  <c r="L370" i="1"/>
  <c r="N370" i="1"/>
  <c r="M370" i="1"/>
  <c r="K383" i="1"/>
  <c r="M383" i="1"/>
  <c r="N485" i="1"/>
  <c r="L485" i="1"/>
  <c r="M485" i="1"/>
  <c r="K464" i="1"/>
  <c r="M464" i="1"/>
  <c r="L469" i="1"/>
  <c r="M469" i="1"/>
  <c r="N469" i="1"/>
  <c r="K460" i="1"/>
  <c r="M460" i="1"/>
  <c r="K468" i="1"/>
  <c r="M468" i="1"/>
  <c r="N468" i="1"/>
  <c r="K420" i="1"/>
  <c r="M420" i="1"/>
  <c r="K402" i="1"/>
  <c r="M402" i="1"/>
  <c r="M511" i="1"/>
  <c r="M499" i="1"/>
  <c r="K499" i="1"/>
  <c r="N505" i="1"/>
  <c r="M505" i="1"/>
  <c r="M409" i="1"/>
  <c r="N409" i="1"/>
  <c r="K409" i="1"/>
  <c r="L396" i="1"/>
  <c r="M396" i="1"/>
  <c r="L359" i="1"/>
  <c r="N359" i="1"/>
  <c r="M359" i="1"/>
  <c r="N373" i="1"/>
  <c r="L373" i="1"/>
  <c r="M373" i="1"/>
  <c r="M491" i="1"/>
  <c r="L492" i="1"/>
  <c r="M492" i="1"/>
  <c r="N492" i="1"/>
  <c r="K375" i="1"/>
  <c r="M375" i="1"/>
  <c r="N375" i="1"/>
  <c r="K376" i="1"/>
  <c r="M376" i="1"/>
  <c r="N376" i="1"/>
  <c r="K389" i="1"/>
  <c r="M389" i="1"/>
  <c r="K401" i="1"/>
  <c r="M401" i="1"/>
  <c r="K390" i="1"/>
  <c r="M390" i="1"/>
  <c r="N390" i="1"/>
  <c r="K392" i="1"/>
  <c r="M392" i="1"/>
  <c r="N392" i="1"/>
  <c r="K382" i="1"/>
  <c r="M382" i="1"/>
  <c r="N382" i="1"/>
  <c r="L445" i="1"/>
  <c r="M445" i="1"/>
  <c r="N445" i="1"/>
  <c r="N446" i="1"/>
  <c r="M446" i="1"/>
  <c r="K446" i="1"/>
  <c r="M447" i="1"/>
  <c r="N447" i="1"/>
  <c r="K447" i="1"/>
  <c r="M448" i="1"/>
  <c r="N448" i="1"/>
  <c r="K448" i="1"/>
  <c r="K450" i="1"/>
  <c r="M450" i="1"/>
  <c r="N450" i="1"/>
  <c r="L451" i="1"/>
  <c r="M451" i="1"/>
  <c r="N451" i="1"/>
  <c r="N452" i="1"/>
  <c r="M452" i="1"/>
  <c r="K452" i="1"/>
  <c r="M453" i="1"/>
  <c r="N453" i="1"/>
  <c r="K453" i="1"/>
  <c r="M455" i="1"/>
  <c r="N455" i="1"/>
  <c r="K455" i="1"/>
  <c r="L456" i="1"/>
  <c r="M456" i="1"/>
  <c r="N456" i="1"/>
  <c r="M457" i="1"/>
  <c r="N457" i="1"/>
  <c r="K457" i="1"/>
  <c r="L458" i="1"/>
  <c r="N458" i="1"/>
  <c r="M458" i="1"/>
  <c r="L459" i="1"/>
  <c r="M459" i="1"/>
  <c r="N459" i="1"/>
  <c r="M454" i="1"/>
  <c r="N454" i="1"/>
  <c r="K449" i="1"/>
  <c r="N449" i="1"/>
  <c r="M449" i="1"/>
  <c r="K366" i="1"/>
  <c r="M366" i="1"/>
  <c r="N366" i="1"/>
  <c r="K360" i="1"/>
  <c r="M360" i="1"/>
  <c r="N360" i="1"/>
  <c r="K397" i="1"/>
  <c r="M397" i="1"/>
  <c r="N397" i="1"/>
  <c r="L427" i="1"/>
  <c r="M427" i="1"/>
  <c r="K362" i="1"/>
  <c r="M362" i="1"/>
  <c r="K416" i="1"/>
  <c r="M416" i="1"/>
  <c r="N416" i="1"/>
  <c r="M372" i="1"/>
  <c r="K432" i="1"/>
  <c r="M432" i="1"/>
  <c r="N432" i="1"/>
  <c r="M433" i="1"/>
  <c r="K433" i="1"/>
  <c r="N433" i="1"/>
  <c r="L434" i="1"/>
  <c r="M434" i="1"/>
  <c r="N434" i="1"/>
  <c r="K435" i="1"/>
  <c r="M435" i="1"/>
  <c r="N435" i="1"/>
  <c r="M436" i="1"/>
  <c r="N436" i="1"/>
  <c r="K436" i="1"/>
  <c r="M437" i="1"/>
  <c r="L437" i="1"/>
  <c r="N437" i="1"/>
  <c r="N438" i="1"/>
  <c r="K438" i="1"/>
  <c r="M438" i="1"/>
  <c r="K439" i="1"/>
  <c r="M439" i="1"/>
  <c r="N439" i="1"/>
  <c r="K440" i="1"/>
  <c r="M440" i="1"/>
  <c r="N440" i="1"/>
  <c r="L441" i="1"/>
  <c r="M441" i="1"/>
  <c r="N441" i="1"/>
  <c r="L442" i="1"/>
  <c r="M442" i="1"/>
  <c r="N442" i="1"/>
  <c r="L443" i="1"/>
  <c r="M443" i="1"/>
  <c r="N443" i="1"/>
  <c r="L444" i="1"/>
  <c r="M444" i="1"/>
  <c r="N444" i="1"/>
  <c r="K394" i="1"/>
  <c r="M394" i="1"/>
  <c r="N418" i="1"/>
  <c r="M418" i="1"/>
  <c r="M407" i="1"/>
  <c r="N407" i="1"/>
  <c r="K419" i="1"/>
  <c r="M419" i="1"/>
  <c r="N419" i="1"/>
  <c r="M408" i="1"/>
  <c r="K408" i="1"/>
  <c r="N408" i="1"/>
  <c r="N358" i="1"/>
  <c r="L358" i="1"/>
  <c r="M358" i="1"/>
  <c r="K368" i="1"/>
  <c r="M368" i="1"/>
  <c r="N368" i="1"/>
  <c r="M386" i="1"/>
  <c r="L386" i="1"/>
  <c r="K395" i="1"/>
  <c r="M395" i="1"/>
  <c r="N395" i="1"/>
  <c r="L404" i="1"/>
  <c r="M404" i="1"/>
  <c r="N404" i="1"/>
  <c r="L374" i="1"/>
  <c r="M374" i="1"/>
  <c r="N374" i="1"/>
  <c r="K365" i="1"/>
  <c r="M365" i="1"/>
  <c r="N365" i="1"/>
  <c r="K381" i="1"/>
  <c r="M381" i="1"/>
  <c r="N381" i="1"/>
  <c r="K399" i="1"/>
  <c r="M399" i="1"/>
  <c r="N399" i="1"/>
  <c r="K367" i="1"/>
  <c r="M367" i="1"/>
  <c r="N367" i="1"/>
  <c r="K385" i="1"/>
  <c r="M385" i="1"/>
  <c r="N385" i="1"/>
  <c r="K391" i="1"/>
  <c r="M391" i="1"/>
  <c r="N391" i="1"/>
  <c r="K403" i="1"/>
  <c r="M403" i="1"/>
  <c r="N403" i="1"/>
  <c r="K378" i="1"/>
  <c r="M378" i="1"/>
  <c r="N378" i="1"/>
  <c r="N380" i="1"/>
  <c r="K380" i="1"/>
  <c r="K177" i="1"/>
  <c r="M177" i="1"/>
  <c r="L371" i="1"/>
  <c r="M371" i="1"/>
  <c r="K166" i="1"/>
  <c r="M166" i="1"/>
  <c r="K127" i="1"/>
  <c r="M127" i="1"/>
  <c r="K182" i="1"/>
  <c r="M182" i="1"/>
  <c r="L351" i="1"/>
  <c r="M351" i="1"/>
  <c r="N351" i="1"/>
  <c r="K322" i="1"/>
  <c r="M322" i="1"/>
  <c r="N322" i="1"/>
  <c r="K337" i="1"/>
  <c r="M337" i="1"/>
  <c r="N337" i="1"/>
  <c r="L352" i="1"/>
  <c r="M352" i="1"/>
  <c r="N352" i="1"/>
  <c r="K323" i="1"/>
  <c r="M323" i="1"/>
  <c r="N323" i="1"/>
  <c r="K338" i="1"/>
  <c r="M338" i="1"/>
  <c r="N338" i="1"/>
  <c r="L353" i="1"/>
  <c r="M353" i="1"/>
  <c r="N353" i="1"/>
  <c r="K324" i="1"/>
  <c r="M324" i="1"/>
  <c r="N324" i="1"/>
  <c r="K339" i="1"/>
  <c r="M339" i="1"/>
  <c r="N339" i="1"/>
  <c r="L354" i="1"/>
  <c r="M354" i="1"/>
  <c r="N354" i="1"/>
  <c r="K325" i="1"/>
  <c r="M325" i="1"/>
  <c r="N325" i="1"/>
  <c r="L340" i="1"/>
  <c r="M340" i="1"/>
  <c r="N340" i="1"/>
  <c r="L355" i="1"/>
  <c r="M355" i="1"/>
  <c r="N355" i="1"/>
  <c r="K326" i="1"/>
  <c r="M326" i="1"/>
  <c r="N326" i="1"/>
  <c r="L341" i="1"/>
  <c r="M341" i="1"/>
  <c r="N341" i="1"/>
  <c r="N356" i="1"/>
  <c r="L356" i="1"/>
  <c r="M356" i="1"/>
  <c r="L313" i="1"/>
  <c r="M313" i="1"/>
  <c r="N313" i="1"/>
  <c r="L328" i="1"/>
  <c r="M328" i="1"/>
  <c r="N328" i="1"/>
  <c r="M343" i="1"/>
  <c r="L343" i="1"/>
  <c r="N343" i="1"/>
  <c r="L314" i="1"/>
  <c r="M314" i="1"/>
  <c r="N314" i="1"/>
  <c r="L329" i="1"/>
  <c r="M329" i="1"/>
  <c r="N329" i="1"/>
  <c r="L344" i="1"/>
  <c r="M344" i="1"/>
  <c r="N344" i="1"/>
  <c r="L315" i="1"/>
  <c r="M315" i="1"/>
  <c r="N315" i="1"/>
  <c r="K330" i="1"/>
  <c r="M330" i="1"/>
  <c r="N330" i="1"/>
  <c r="L345" i="1"/>
  <c r="M345" i="1"/>
  <c r="N345" i="1"/>
  <c r="K316" i="1"/>
  <c r="M316" i="1"/>
  <c r="N316" i="1"/>
  <c r="K331" i="1"/>
  <c r="M331" i="1"/>
  <c r="N331" i="1"/>
  <c r="N346" i="1"/>
  <c r="L346" i="1"/>
  <c r="M346" i="1"/>
  <c r="K317" i="1"/>
  <c r="N317" i="1"/>
  <c r="M317" i="1"/>
  <c r="K332" i="1"/>
  <c r="M332" i="1"/>
  <c r="N332" i="1"/>
  <c r="L347" i="1"/>
  <c r="M347" i="1"/>
  <c r="N347" i="1"/>
  <c r="K318" i="1"/>
  <c r="M318" i="1"/>
  <c r="N318" i="1"/>
  <c r="K333" i="1"/>
  <c r="M333" i="1"/>
  <c r="N333" i="1"/>
  <c r="L348" i="1"/>
  <c r="M348" i="1"/>
  <c r="N348" i="1"/>
  <c r="K319" i="1"/>
  <c r="M319" i="1"/>
  <c r="N319" i="1"/>
  <c r="L334" i="1"/>
  <c r="M334" i="1"/>
  <c r="N334" i="1"/>
  <c r="L349" i="1"/>
  <c r="M349" i="1"/>
  <c r="N349" i="1"/>
  <c r="L320" i="1"/>
  <c r="M320" i="1"/>
  <c r="N320" i="1"/>
  <c r="K335" i="1"/>
  <c r="M335" i="1"/>
  <c r="N335" i="1"/>
  <c r="L350" i="1"/>
  <c r="M350" i="1"/>
  <c r="N350" i="1"/>
  <c r="K321" i="1"/>
  <c r="M321" i="1"/>
  <c r="N321" i="1"/>
  <c r="K336" i="1"/>
  <c r="M336" i="1"/>
  <c r="N336" i="1"/>
  <c r="L327" i="1"/>
  <c r="M327" i="1"/>
  <c r="N327" i="1"/>
  <c r="K342" i="1"/>
  <c r="M342" i="1"/>
  <c r="N342" i="1"/>
  <c r="L357" i="1"/>
  <c r="M357" i="1"/>
  <c r="N357" i="1"/>
  <c r="K180" i="1"/>
  <c r="M180" i="1"/>
  <c r="K173" i="1"/>
  <c r="M173" i="1"/>
  <c r="L169" i="1"/>
  <c r="M169" i="1"/>
  <c r="N169" i="1"/>
  <c r="M219" i="1"/>
  <c r="K219" i="1"/>
  <c r="N219" i="1"/>
  <c r="K237" i="1"/>
  <c r="N237" i="1"/>
  <c r="M237" i="1"/>
  <c r="K256" i="1"/>
  <c r="N256" i="1"/>
  <c r="M256" i="1"/>
  <c r="N272" i="1"/>
  <c r="M272" i="1"/>
  <c r="K272" i="1"/>
  <c r="N285" i="1"/>
  <c r="M285" i="1"/>
  <c r="L285" i="1"/>
  <c r="M238" i="1"/>
  <c r="N238" i="1"/>
  <c r="L238" i="1"/>
  <c r="N220" i="1"/>
  <c r="K220" i="1"/>
  <c r="M220" i="1"/>
  <c r="M239" i="1"/>
  <c r="N239" i="1"/>
  <c r="L239" i="1"/>
  <c r="M257" i="1"/>
  <c r="L257" i="1"/>
  <c r="N257" i="1"/>
  <c r="N273" i="1"/>
  <c r="L273" i="1"/>
  <c r="M273" i="1"/>
  <c r="N286" i="1"/>
  <c r="M286" i="1"/>
  <c r="K286" i="1"/>
  <c r="M299" i="1"/>
  <c r="L299" i="1"/>
  <c r="N299" i="1"/>
  <c r="N221" i="1"/>
  <c r="K221" i="1"/>
  <c r="M221" i="1"/>
  <c r="L240" i="1"/>
  <c r="M240" i="1"/>
  <c r="N240" i="1"/>
  <c r="K258" i="1"/>
  <c r="M258" i="1"/>
  <c r="N258" i="1"/>
  <c r="L287" i="1"/>
  <c r="M287" i="1"/>
  <c r="N287" i="1"/>
  <c r="M300" i="1"/>
  <c r="N300" i="1"/>
  <c r="L300" i="1"/>
  <c r="N222" i="1"/>
  <c r="M222" i="1"/>
  <c r="L222" i="1"/>
  <c r="N241" i="1"/>
  <c r="M241" i="1"/>
  <c r="L241" i="1"/>
  <c r="M259" i="1"/>
  <c r="N259" i="1"/>
  <c r="L259" i="1"/>
  <c r="K223" i="1"/>
  <c r="N223" i="1"/>
  <c r="M223" i="1"/>
  <c r="M242" i="1"/>
  <c r="L242" i="1"/>
  <c r="N242" i="1"/>
  <c r="N301" i="1"/>
  <c r="L301" i="1"/>
  <c r="M301" i="1"/>
  <c r="K224" i="1"/>
  <c r="M224" i="1"/>
  <c r="N224" i="1"/>
  <c r="L243" i="1"/>
  <c r="M243" i="1"/>
  <c r="N243" i="1"/>
  <c r="L260" i="1"/>
  <c r="M260" i="1"/>
  <c r="N260" i="1"/>
  <c r="L274" i="1"/>
  <c r="M274" i="1"/>
  <c r="N274" i="1"/>
  <c r="K288" i="1"/>
  <c r="M288" i="1"/>
  <c r="N288" i="1"/>
  <c r="L302" i="1"/>
  <c r="M302" i="1"/>
  <c r="N302" i="1"/>
  <c r="N225" i="1"/>
  <c r="K225" i="1"/>
  <c r="M225" i="1"/>
  <c r="K244" i="1"/>
  <c r="M244" i="1"/>
  <c r="N244" i="1"/>
  <c r="K261" i="1"/>
  <c r="M261" i="1"/>
  <c r="N261" i="1"/>
  <c r="K275" i="1"/>
  <c r="M275" i="1"/>
  <c r="N275" i="1"/>
  <c r="N289" i="1"/>
  <c r="M289" i="1"/>
  <c r="K289" i="1"/>
  <c r="L303" i="1"/>
  <c r="N303" i="1"/>
  <c r="M303" i="1"/>
  <c r="N226" i="1"/>
  <c r="M226" i="1"/>
  <c r="K226" i="1"/>
  <c r="M245" i="1"/>
  <c r="N245" i="1"/>
  <c r="K245" i="1"/>
  <c r="M262" i="1"/>
  <c r="N262" i="1"/>
  <c r="L262" i="1"/>
  <c r="M227" i="1"/>
  <c r="K227" i="1"/>
  <c r="N227" i="1"/>
  <c r="K246" i="1"/>
  <c r="M246" i="1"/>
  <c r="N246" i="1"/>
  <c r="L263" i="1"/>
  <c r="M263" i="1"/>
  <c r="N263" i="1"/>
  <c r="N276" i="1"/>
  <c r="L276" i="1"/>
  <c r="M276" i="1"/>
  <c r="M290" i="1"/>
  <c r="N290" i="1"/>
  <c r="L290" i="1"/>
  <c r="M304" i="1"/>
  <c r="N304" i="1"/>
  <c r="L304" i="1"/>
  <c r="K228" i="1"/>
  <c r="M228" i="1"/>
  <c r="N228" i="1"/>
  <c r="K247" i="1"/>
  <c r="M247" i="1"/>
  <c r="N247" i="1"/>
  <c r="K264" i="1"/>
  <c r="M264" i="1"/>
  <c r="N264" i="1"/>
  <c r="K277" i="1"/>
  <c r="M277" i="1"/>
  <c r="N277" i="1"/>
  <c r="N291" i="1"/>
  <c r="L291" i="1"/>
  <c r="M291" i="1"/>
  <c r="M305" i="1"/>
  <c r="L305" i="1"/>
  <c r="N305" i="1"/>
  <c r="N229" i="1"/>
  <c r="M229" i="1"/>
  <c r="K229" i="1"/>
  <c r="N248" i="1"/>
  <c r="M248" i="1"/>
  <c r="K248" i="1"/>
  <c r="M265" i="1"/>
  <c r="K265" i="1"/>
  <c r="N265" i="1"/>
  <c r="L278" i="1"/>
  <c r="N278" i="1"/>
  <c r="M278" i="1"/>
  <c r="K292" i="1"/>
  <c r="M292" i="1"/>
  <c r="N292" i="1"/>
  <c r="L306" i="1"/>
  <c r="M306" i="1"/>
  <c r="N306" i="1"/>
  <c r="M230" i="1"/>
  <c r="K230" i="1"/>
  <c r="N230" i="1"/>
  <c r="K249" i="1"/>
  <c r="M249" i="1"/>
  <c r="N249" i="1"/>
  <c r="L266" i="1"/>
  <c r="M266" i="1"/>
  <c r="N266" i="1"/>
  <c r="N231" i="1"/>
  <c r="K231" i="1"/>
  <c r="M231" i="1"/>
  <c r="M250" i="1"/>
  <c r="K250" i="1"/>
  <c r="N250" i="1"/>
  <c r="K267" i="1"/>
  <c r="M267" i="1"/>
  <c r="N267" i="1"/>
  <c r="N279" i="1"/>
  <c r="M279" i="1"/>
  <c r="M293" i="1"/>
  <c r="L293" i="1"/>
  <c r="N293" i="1"/>
  <c r="L307" i="1"/>
  <c r="N307" i="1"/>
  <c r="M307" i="1"/>
  <c r="N232" i="1"/>
  <c r="K232" i="1"/>
  <c r="M232" i="1"/>
  <c r="K251" i="1"/>
  <c r="M251" i="1"/>
  <c r="N251" i="1"/>
  <c r="N268" i="1"/>
  <c r="M268" i="1"/>
  <c r="L268" i="1"/>
  <c r="N280" i="1"/>
  <c r="K280" i="1"/>
  <c r="M280" i="1"/>
  <c r="N294" i="1"/>
  <c r="L294" i="1"/>
  <c r="M294" i="1"/>
  <c r="M308" i="1"/>
  <c r="L308" i="1"/>
  <c r="N308" i="1"/>
  <c r="N233" i="1"/>
  <c r="K233" i="1"/>
  <c r="M233" i="1"/>
  <c r="K252" i="1"/>
  <c r="M252" i="1"/>
  <c r="N252" i="1"/>
  <c r="L269" i="1"/>
  <c r="M269" i="1"/>
  <c r="N269" i="1"/>
  <c r="K281" i="1"/>
  <c r="M281" i="1"/>
  <c r="N281" i="1"/>
  <c r="K295" i="1"/>
  <c r="M295" i="1"/>
  <c r="N295" i="1"/>
  <c r="L309" i="1"/>
  <c r="M309" i="1"/>
  <c r="N309" i="1"/>
  <c r="K234" i="1"/>
  <c r="M234" i="1"/>
  <c r="N234" i="1"/>
  <c r="M253" i="1"/>
  <c r="N253" i="1"/>
  <c r="K253" i="1"/>
  <c r="M282" i="1"/>
  <c r="N282" i="1"/>
  <c r="K282" i="1"/>
  <c r="K296" i="1"/>
  <c r="M296" i="1"/>
  <c r="N296" i="1"/>
  <c r="M310" i="1"/>
  <c r="N310" i="1"/>
  <c r="L310" i="1"/>
  <c r="M235" i="1"/>
  <c r="N235" i="1"/>
  <c r="K235" i="1"/>
  <c r="M254" i="1"/>
  <c r="K254" i="1"/>
  <c r="N254" i="1"/>
  <c r="K270" i="1"/>
  <c r="M270" i="1"/>
  <c r="N270" i="1"/>
  <c r="L283" i="1"/>
  <c r="M283" i="1"/>
  <c r="N283" i="1"/>
  <c r="N297" i="1"/>
  <c r="L297" i="1"/>
  <c r="M297" i="1"/>
  <c r="M311" i="1"/>
  <c r="N311" i="1"/>
  <c r="L311" i="1"/>
  <c r="N236" i="1"/>
  <c r="K236" i="1"/>
  <c r="M236" i="1"/>
  <c r="M255" i="1"/>
  <c r="N255" i="1"/>
  <c r="L255" i="1"/>
  <c r="M271" i="1"/>
  <c r="N271" i="1"/>
  <c r="L271" i="1"/>
  <c r="K284" i="1"/>
  <c r="N284" i="1"/>
  <c r="M284" i="1"/>
  <c r="K298" i="1"/>
  <c r="M298" i="1"/>
  <c r="N298" i="1"/>
  <c r="N312" i="1"/>
  <c r="L312" i="1"/>
  <c r="M312" i="1"/>
  <c r="K174" i="1"/>
  <c r="M174" i="1"/>
  <c r="K179" i="1"/>
  <c r="M179" i="1"/>
  <c r="K171" i="1"/>
  <c r="M171" i="1"/>
  <c r="L168" i="1"/>
  <c r="M168" i="1"/>
  <c r="K172" i="1"/>
  <c r="M172" i="1"/>
  <c r="K175" i="1"/>
  <c r="M175" i="1"/>
  <c r="K181" i="1"/>
  <c r="M181" i="1"/>
  <c r="L178" i="1"/>
  <c r="M178" i="1"/>
  <c r="L167" i="1"/>
  <c r="M167" i="1"/>
  <c r="K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K205" i="1"/>
  <c r="M205" i="1"/>
  <c r="N205" i="1"/>
  <c r="K206" i="1"/>
  <c r="M206" i="1"/>
  <c r="N206" i="1"/>
  <c r="M207" i="1"/>
  <c r="N207" i="1"/>
  <c r="K208" i="1"/>
  <c r="M208" i="1"/>
  <c r="N208" i="1"/>
  <c r="K209" i="1"/>
  <c r="M209" i="1"/>
  <c r="N209" i="1"/>
  <c r="K210" i="1"/>
  <c r="M210" i="1"/>
  <c r="N210" i="1"/>
  <c r="K211" i="1"/>
  <c r="M211" i="1"/>
  <c r="N211" i="1"/>
  <c r="K212" i="1"/>
  <c r="M212" i="1"/>
  <c r="N212" i="1"/>
  <c r="K213" i="1"/>
  <c r="M213" i="1"/>
  <c r="N213" i="1"/>
  <c r="K214" i="1"/>
  <c r="M214" i="1"/>
  <c r="N214" i="1"/>
  <c r="K215" i="1"/>
  <c r="M215" i="1"/>
  <c r="N215" i="1"/>
  <c r="K216" i="1"/>
  <c r="M216" i="1"/>
  <c r="N216" i="1"/>
  <c r="K217" i="1"/>
  <c r="M217" i="1"/>
  <c r="N217" i="1"/>
  <c r="K218" i="1"/>
  <c r="M218" i="1"/>
  <c r="N218" i="1"/>
  <c r="M170" i="1"/>
  <c r="N170" i="1"/>
  <c r="K170" i="1"/>
  <c r="K144" i="1"/>
  <c r="M144" i="1"/>
  <c r="K112" i="1"/>
  <c r="M112" i="1"/>
  <c r="M176" i="1"/>
  <c r="N176" i="1"/>
  <c r="L183" i="1"/>
  <c r="M183" i="1"/>
  <c r="N183" i="1"/>
  <c r="N184" i="1"/>
  <c r="K184" i="1"/>
  <c r="M184" i="1"/>
  <c r="K185" i="1"/>
  <c r="M185" i="1"/>
  <c r="N185" i="1"/>
  <c r="N186" i="1"/>
  <c r="K186" i="1"/>
  <c r="M186" i="1"/>
  <c r="K187" i="1"/>
  <c r="M187" i="1"/>
  <c r="N187" i="1"/>
  <c r="L188" i="1"/>
  <c r="M188" i="1"/>
  <c r="N188" i="1"/>
  <c r="K189" i="1"/>
  <c r="M189" i="1"/>
  <c r="N189" i="1"/>
  <c r="K190" i="1"/>
  <c r="M190" i="1"/>
  <c r="N190" i="1"/>
  <c r="K191" i="1"/>
  <c r="M191" i="1"/>
  <c r="N191" i="1"/>
  <c r="K192" i="1"/>
  <c r="M192" i="1"/>
  <c r="N192" i="1"/>
  <c r="K193" i="1"/>
  <c r="M193" i="1"/>
  <c r="N193" i="1"/>
  <c r="K194" i="1"/>
  <c r="M194" i="1"/>
  <c r="N194" i="1"/>
  <c r="K195" i="1"/>
  <c r="M195" i="1"/>
  <c r="N195" i="1"/>
  <c r="K196" i="1"/>
  <c r="M196" i="1"/>
  <c r="N196" i="1"/>
  <c r="K197" i="1"/>
  <c r="M197" i="1"/>
  <c r="N197" i="1"/>
  <c r="K198" i="1"/>
  <c r="M198" i="1"/>
  <c r="N198" i="1"/>
  <c r="K199" i="1"/>
  <c r="M199" i="1"/>
  <c r="N199" i="1"/>
  <c r="K75" i="1"/>
  <c r="N75" i="1"/>
  <c r="K41" i="1"/>
  <c r="N41" i="1"/>
  <c r="L40" i="1"/>
  <c r="M40" i="1"/>
  <c r="M103" i="1"/>
  <c r="K103" i="1"/>
  <c r="K105" i="1"/>
  <c r="M105" i="1"/>
  <c r="K134" i="1"/>
  <c r="M134" i="1"/>
  <c r="N134" i="1"/>
  <c r="M132" i="1"/>
  <c r="N132" i="1"/>
  <c r="K132" i="1"/>
  <c r="K23" i="1"/>
  <c r="M23" i="1"/>
  <c r="K43" i="1"/>
  <c r="M43" i="1"/>
  <c r="N43" i="1"/>
  <c r="L72" i="1"/>
  <c r="M72" i="1"/>
  <c r="L35" i="1"/>
  <c r="M35" i="1"/>
  <c r="K21" i="1"/>
  <c r="M21" i="1"/>
  <c r="L39" i="1"/>
  <c r="M39" i="1"/>
  <c r="N39" i="1"/>
  <c r="L59" i="1"/>
  <c r="M59" i="1"/>
  <c r="L98" i="1"/>
  <c r="M98" i="1"/>
  <c r="K125" i="1"/>
  <c r="M125" i="1"/>
  <c r="K146" i="1"/>
  <c r="M146" i="1"/>
  <c r="N146" i="1"/>
  <c r="L22" i="1"/>
  <c r="N22" i="1"/>
  <c r="M22" i="1"/>
  <c r="K137" i="1"/>
  <c r="N137" i="1"/>
  <c r="M137" i="1"/>
  <c r="L24" i="1"/>
  <c r="M24" i="1"/>
  <c r="L116" i="1"/>
  <c r="M116" i="1"/>
  <c r="K136" i="1"/>
  <c r="M136" i="1"/>
  <c r="K60" i="1"/>
  <c r="M60" i="1"/>
  <c r="M97" i="1"/>
  <c r="N97" i="1"/>
  <c r="M82" i="1"/>
  <c r="N82" i="1"/>
  <c r="K28" i="1"/>
  <c r="M28" i="1"/>
  <c r="K68" i="1"/>
  <c r="M68" i="1"/>
  <c r="L50" i="1"/>
  <c r="M50" i="1"/>
  <c r="M69" i="1"/>
  <c r="N69" i="1"/>
  <c r="L148" i="1"/>
  <c r="M148" i="1"/>
  <c r="L94" i="1"/>
  <c r="M94" i="1"/>
  <c r="K95" i="1"/>
  <c r="M95" i="1"/>
  <c r="K135" i="1"/>
  <c r="M135" i="1"/>
  <c r="K138" i="1"/>
  <c r="M138" i="1"/>
  <c r="N138" i="1"/>
  <c r="K133" i="1"/>
  <c r="M133" i="1"/>
  <c r="L80" i="1"/>
  <c r="M80" i="1"/>
  <c r="N119" i="1"/>
  <c r="M119" i="1"/>
  <c r="K48" i="1"/>
  <c r="M48" i="1"/>
  <c r="K85" i="1"/>
  <c r="M85" i="1"/>
  <c r="K31" i="1"/>
  <c r="N31" i="1"/>
  <c r="M31" i="1"/>
  <c r="K32" i="1"/>
  <c r="M32" i="1"/>
  <c r="K52" i="1"/>
  <c r="M52" i="1"/>
  <c r="K36" i="1"/>
  <c r="M36" i="1"/>
  <c r="L57" i="1"/>
  <c r="M57" i="1"/>
  <c r="L113" i="1"/>
  <c r="M113" i="1"/>
  <c r="K78" i="1"/>
  <c r="M78" i="1"/>
  <c r="L114" i="1"/>
  <c r="M114" i="1"/>
  <c r="M62" i="1"/>
  <c r="N62" i="1"/>
  <c r="M81" i="1"/>
  <c r="N81" i="1"/>
  <c r="M45" i="1"/>
  <c r="N45" i="1"/>
  <c r="M64" i="1"/>
  <c r="N64" i="1"/>
  <c r="K27" i="1"/>
  <c r="N27" i="1"/>
  <c r="M27" i="1"/>
  <c r="K47" i="1"/>
  <c r="M47" i="1"/>
  <c r="N47" i="1"/>
  <c r="M34" i="1"/>
  <c r="N34" i="1"/>
  <c r="L58" i="1"/>
  <c r="M58" i="1"/>
  <c r="L131" i="1"/>
  <c r="N131" i="1"/>
  <c r="M131" i="1"/>
  <c r="K115" i="1"/>
  <c r="M115" i="1"/>
  <c r="N115" i="1"/>
  <c r="K26" i="1"/>
  <c r="M26" i="1"/>
  <c r="L101" i="1"/>
  <c r="M101" i="1"/>
  <c r="M29" i="1"/>
  <c r="L29" i="1"/>
  <c r="K67" i="1"/>
  <c r="M67" i="1"/>
  <c r="K102" i="1"/>
  <c r="M102" i="1"/>
  <c r="K122" i="1"/>
  <c r="M122" i="1"/>
  <c r="K87" i="1"/>
  <c r="M87" i="1"/>
  <c r="M55" i="1"/>
  <c r="K55" i="1"/>
  <c r="M130" i="1"/>
  <c r="K130" i="1"/>
  <c r="L25" i="1"/>
  <c r="M25" i="1"/>
  <c r="M84" i="1"/>
  <c r="N84" i="1"/>
  <c r="K38" i="1"/>
  <c r="N38" i="1"/>
  <c r="M38" i="1"/>
  <c r="L76" i="1"/>
  <c r="M76" i="1"/>
  <c r="L111" i="1"/>
  <c r="M111" i="1"/>
  <c r="M89" i="1"/>
  <c r="N89" i="1"/>
  <c r="K90" i="1"/>
  <c r="M90" i="1"/>
  <c r="M107" i="1"/>
  <c r="L107" i="1"/>
  <c r="K77" i="1"/>
  <c r="M77" i="1"/>
  <c r="N77" i="1"/>
  <c r="L70" i="1"/>
  <c r="M70" i="1"/>
  <c r="K124" i="1"/>
  <c r="M124" i="1"/>
  <c r="L71" i="1"/>
  <c r="M71" i="1"/>
  <c r="K53" i="1"/>
  <c r="M53" i="1"/>
  <c r="L63" i="1"/>
  <c r="M63" i="1"/>
  <c r="N63" i="1"/>
  <c r="K93" i="1"/>
  <c r="M93" i="1"/>
  <c r="N93" i="1"/>
  <c r="M44" i="1"/>
  <c r="N44" i="1"/>
  <c r="M143" i="1"/>
  <c r="N143" i="1"/>
  <c r="K109" i="1"/>
  <c r="M109" i="1"/>
  <c r="N149" i="1"/>
  <c r="K149" i="1"/>
  <c r="M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N154" i="1"/>
  <c r="L154" i="1"/>
  <c r="M154" i="1"/>
  <c r="N155" i="1"/>
  <c r="M155" i="1"/>
  <c r="K155" i="1"/>
  <c r="N156" i="1"/>
  <c r="M156" i="1"/>
  <c r="K156" i="1"/>
  <c r="K157" i="1"/>
  <c r="M157" i="1"/>
  <c r="N157" i="1"/>
  <c r="K158" i="1"/>
  <c r="M158" i="1"/>
  <c r="N158" i="1"/>
  <c r="K159" i="1"/>
  <c r="M159" i="1"/>
  <c r="N159" i="1"/>
  <c r="L160" i="1"/>
  <c r="M160" i="1"/>
  <c r="N160" i="1"/>
  <c r="K161" i="1"/>
  <c r="M161" i="1"/>
  <c r="N161" i="1"/>
  <c r="K162" i="1"/>
  <c r="M162" i="1"/>
  <c r="N162" i="1"/>
  <c r="K163" i="1"/>
  <c r="M163" i="1"/>
  <c r="N163" i="1"/>
  <c r="K164" i="1"/>
  <c r="M164" i="1"/>
  <c r="N164" i="1"/>
  <c r="K165" i="1"/>
  <c r="M165" i="1"/>
  <c r="N165" i="1"/>
  <c r="L51" i="1"/>
  <c r="M51" i="1"/>
  <c r="N51" i="1"/>
  <c r="K46" i="1"/>
  <c r="M46" i="1"/>
  <c r="K66" i="1"/>
  <c r="M66" i="1"/>
  <c r="K30" i="1"/>
  <c r="M30" i="1"/>
  <c r="M74" i="1"/>
  <c r="N74" i="1"/>
  <c r="N42" i="1"/>
  <c r="L42" i="1"/>
  <c r="M42" i="1"/>
  <c r="M120" i="1"/>
  <c r="N120" i="1"/>
  <c r="K121" i="1"/>
  <c r="M121" i="1"/>
  <c r="M139" i="1"/>
  <c r="N139" i="1"/>
  <c r="K73" i="1"/>
  <c r="M73" i="1"/>
  <c r="M108" i="1"/>
  <c r="N108" i="1"/>
  <c r="M56" i="1"/>
  <c r="N56" i="1"/>
  <c r="K104" i="1"/>
  <c r="M104" i="1"/>
  <c r="N104" i="1"/>
  <c r="L61" i="1"/>
  <c r="M61" i="1"/>
  <c r="N61" i="1"/>
  <c r="K128" i="1"/>
  <c r="M128" i="1"/>
  <c r="M147" i="1"/>
  <c r="N147" i="1"/>
  <c r="M96" i="1"/>
  <c r="N96" i="1"/>
  <c r="K123" i="1"/>
  <c r="N123" i="1"/>
  <c r="K141" i="1"/>
  <c r="M141" i="1"/>
  <c r="N141" i="1"/>
  <c r="K88" i="1"/>
  <c r="L88" i="1"/>
  <c r="M88" i="1"/>
  <c r="N88" i="1"/>
  <c r="K142" i="1"/>
  <c r="M142" i="1"/>
  <c r="M117" i="1"/>
  <c r="N117" i="1"/>
  <c r="K64" i="1"/>
  <c r="M83" i="1"/>
  <c r="N83" i="1"/>
  <c r="L86" i="1"/>
  <c r="N86" i="1"/>
  <c r="K140" i="1"/>
  <c r="N140" i="1"/>
  <c r="L79" i="1"/>
  <c r="M79" i="1"/>
  <c r="N79" i="1"/>
  <c r="M33" i="1"/>
  <c r="N33" i="1"/>
  <c r="M129" i="1"/>
  <c r="N129" i="1"/>
  <c r="K82" i="1"/>
  <c r="M65" i="1"/>
  <c r="N65" i="1"/>
  <c r="K143" i="1"/>
  <c r="K74" i="1"/>
  <c r="M91" i="1"/>
  <c r="N91" i="1"/>
  <c r="M92" i="1"/>
  <c r="N92" i="1"/>
  <c r="K110" i="1"/>
  <c r="L97" i="1"/>
  <c r="K44" i="1"/>
  <c r="K81" i="1"/>
  <c r="L117" i="1"/>
  <c r="M118" i="1"/>
  <c r="N118" i="1"/>
  <c r="N49" i="1"/>
  <c r="M49" i="1"/>
  <c r="M110" i="1"/>
  <c r="N110" i="1"/>
  <c r="L62" i="1"/>
  <c r="K99" i="1"/>
  <c r="M99" i="1"/>
  <c r="N99" i="1"/>
  <c r="K45" i="1"/>
  <c r="K100" i="1"/>
  <c r="M100" i="1"/>
  <c r="K84" i="1"/>
  <c r="K120" i="1"/>
  <c r="L139" i="1"/>
  <c r="K49" i="1"/>
  <c r="K69" i="1"/>
  <c r="K33" i="1"/>
  <c r="K89" i="1"/>
  <c r="M106" i="1"/>
  <c r="K106" i="1"/>
  <c r="L34" i="1"/>
  <c r="K126" i="1"/>
  <c r="M126" i="1"/>
  <c r="M54" i="1"/>
  <c r="K54" i="1"/>
  <c r="K108" i="1"/>
  <c r="K145" i="1"/>
  <c r="M145" i="1"/>
  <c r="K91" i="1"/>
  <c r="M37" i="1"/>
  <c r="K37" i="1"/>
  <c r="K56" i="1"/>
  <c r="K92" i="1"/>
  <c r="K147" i="1"/>
  <c r="M16" i="1"/>
  <c r="N10" i="1"/>
  <c r="N4" i="1"/>
  <c r="N16" i="1"/>
  <c r="N13" i="1"/>
  <c r="N7" i="1"/>
  <c r="K13" i="1"/>
  <c r="N12" i="1"/>
  <c r="N9" i="1"/>
  <c r="M15" i="1"/>
  <c r="K15" i="1"/>
  <c r="N11" i="1"/>
  <c r="N2" i="1"/>
  <c r="N8" i="1"/>
  <c r="M2" i="1"/>
  <c r="N14" i="1"/>
  <c r="N5" i="1"/>
  <c r="N17" i="1"/>
  <c r="M14" i="1"/>
  <c r="M17" i="1"/>
  <c r="K9" i="1"/>
  <c r="N3" i="1"/>
  <c r="N15" i="1"/>
  <c r="N20" i="1"/>
  <c r="N18" i="1"/>
  <c r="M20" i="1"/>
  <c r="M18" i="1"/>
  <c r="M13" i="1"/>
  <c r="M11" i="1"/>
  <c r="M9" i="1"/>
  <c r="M7" i="1"/>
  <c r="M5" i="1"/>
  <c r="M3" i="1"/>
  <c r="K18" i="1"/>
  <c r="N19" i="1"/>
  <c r="M19" i="1"/>
  <c r="M12" i="1"/>
  <c r="M10" i="1"/>
  <c r="M8" i="1"/>
  <c r="M6" i="1"/>
  <c r="M4" i="1"/>
  <c r="L12" i="1"/>
  <c r="L10" i="1"/>
  <c r="L8" i="1"/>
  <c r="L6" i="1"/>
  <c r="L4" i="1"/>
</calcChain>
</file>

<file path=xl/sharedStrings.xml><?xml version="1.0" encoding="utf-8"?>
<sst xmlns="http://schemas.openxmlformats.org/spreadsheetml/2006/main" count="2779" uniqueCount="94">
  <si>
    <t>DATA</t>
  </si>
  <si>
    <t>ANO</t>
  </si>
  <si>
    <t>Mês</t>
  </si>
  <si>
    <t>AGENTE</t>
  </si>
  <si>
    <t>Grupo</t>
  </si>
  <si>
    <t>Pausas total</t>
  </si>
  <si>
    <t>PRIMEIRO LOGIN</t>
  </si>
  <si>
    <r>
      <t>湥</t>
    </r>
    <r>
      <rPr>
        <b/>
        <sz val="10"/>
        <color indexed="63"/>
        <rFont val="Calibri"/>
        <family val="2"/>
      </rPr>
      <t>TIMO LOGOUT</t>
    </r>
  </si>
  <si>
    <t>TEMPO LOGADO</t>
  </si>
  <si>
    <t>META</t>
  </si>
  <si>
    <t>Crédito</t>
  </si>
  <si>
    <t>DEFICT</t>
  </si>
  <si>
    <t>Pausa</t>
  </si>
  <si>
    <t>% tempo logado</t>
  </si>
  <si>
    <t>Educação</t>
  </si>
  <si>
    <t>M.Dias</t>
  </si>
  <si>
    <t>ANA LAYS GARCES LOPES</t>
  </si>
  <si>
    <t>Unimed</t>
  </si>
  <si>
    <t>ANDREA DE SOUSA VIEIRA</t>
  </si>
  <si>
    <t>antonio yuri andrews nobre e silva</t>
  </si>
  <si>
    <t>Carla wardja Matias Marcolino</t>
  </si>
  <si>
    <t>AgoraCred</t>
  </si>
  <si>
    <t>ELINETE RIBEIRO COSTA</t>
  </si>
  <si>
    <t>Gabriel Queiroz Goncalves</t>
  </si>
  <si>
    <t>IZALI DUTRA DA CUNHA</t>
  </si>
  <si>
    <t>MARIA DAYANE COSTA BARBOZA NOGUEIRA</t>
  </si>
  <si>
    <t>MARIA DE FATIMA ANDRADE FERNANDES</t>
  </si>
  <si>
    <t>MARIA NATALIA FARIAS SILVA</t>
  </si>
  <si>
    <t>ROMARIO VASCONCELOS OLIVEIRA</t>
  </si>
  <si>
    <t>VICTOR VASCONCELOS OLIVEIRA</t>
  </si>
  <si>
    <t>Milena dos Reis Andrade</t>
  </si>
  <si>
    <t>Henrique Silva Souza</t>
  </si>
  <si>
    <t>Mateus Costa Franco</t>
  </si>
  <si>
    <t>FRANCISCO IVONILDO SOUSA</t>
  </si>
  <si>
    <t>Alares</t>
  </si>
  <si>
    <t>Rótulos de Linha</t>
  </si>
  <si>
    <t>Total Geral</t>
  </si>
  <si>
    <t>HORAS POS</t>
  </si>
  <si>
    <t>NOME</t>
  </si>
  <si>
    <t>CRÉDITO</t>
  </si>
  <si>
    <t>DÉBITO</t>
  </si>
  <si>
    <t>MATRÍCULA</t>
  </si>
  <si>
    <t>OPERAÇÃO</t>
  </si>
  <si>
    <t>Francisco Ivonildo Sousa</t>
  </si>
  <si>
    <t>Maria Natalia Farias</t>
  </si>
  <si>
    <t>Antônio Yuri Andrews Nobre e Silva</t>
  </si>
  <si>
    <t>Ana Lays Garces Lopes</t>
  </si>
  <si>
    <t>Ana Leticia do Nascimento Paz</t>
  </si>
  <si>
    <t>Andrea de Sousa Vieira</t>
  </si>
  <si>
    <t>Izali Dutra da Cunha Magalhães</t>
  </si>
  <si>
    <t>Romario Vasconcelos Oliveira</t>
  </si>
  <si>
    <t>Victor Vasconcelos Oliveira</t>
  </si>
  <si>
    <t>Maria de Fátima Andrade Fernandes</t>
  </si>
  <si>
    <t>Elinete Ribeiro Costa</t>
  </si>
  <si>
    <t>Maria Dayane Costa Barboza Nogueira</t>
  </si>
  <si>
    <t>002.03 - OPERAÇÃO/ALARES</t>
  </si>
  <si>
    <t>002.26 - OPERAÇÃO/EDUCACIONAL</t>
  </si>
  <si>
    <t>002.39 - Operação/M Dias Branco</t>
  </si>
  <si>
    <t>004.23 - AGORACRED</t>
  </si>
  <si>
    <t>Janeiro</t>
  </si>
  <si>
    <t>Fevereiro</t>
  </si>
  <si>
    <t>Abril</t>
  </si>
  <si>
    <t>Junho</t>
  </si>
  <si>
    <t>Novembro</t>
  </si>
  <si>
    <t>Dezembro</t>
  </si>
  <si>
    <t>MARIA ERIKA CARLOS DA COSTA</t>
  </si>
  <si>
    <t>SALDO FINAL</t>
  </si>
  <si>
    <t>PAUSAS</t>
  </si>
  <si>
    <t>MARIANA MACIEL LIMA</t>
  </si>
  <si>
    <t>Celiane Lourenço de Sousa</t>
  </si>
  <si>
    <t>Celiane Lourençço</t>
  </si>
  <si>
    <t>Mariana Maciel Lima</t>
  </si>
  <si>
    <t>Soma de DEFICT</t>
  </si>
  <si>
    <t>Média de TEMPO LOGADO</t>
  </si>
  <si>
    <t>PAUSA</t>
  </si>
  <si>
    <t>Agoracred</t>
  </si>
  <si>
    <t>JESSICA FRIDA PAIVA VASCONCELOS</t>
  </si>
  <si>
    <t>LORENA RIBEIRO DOS SANTOS</t>
  </si>
  <si>
    <t>(Vários itens)</t>
  </si>
  <si>
    <t>abril</t>
  </si>
  <si>
    <t>banco de horas</t>
  </si>
  <si>
    <t>Débito final</t>
  </si>
  <si>
    <t>BH PONTO</t>
  </si>
  <si>
    <t>Jessica Frida Paiva Vasconcelos</t>
  </si>
  <si>
    <t>Lorena Ribeiro dos Santos</t>
  </si>
  <si>
    <t>Rubens da Silva Bento</t>
  </si>
  <si>
    <t>Ana Lidia da Cruz Miranda</t>
  </si>
  <si>
    <t>Shayonara Silva Castro</t>
  </si>
  <si>
    <t>Viviane Firmino Felisberto</t>
  </si>
  <si>
    <t>A coluna banco de horas constam todos os feriados referntes aos meses de março (25) e abril até 01 de maio</t>
  </si>
  <si>
    <t>Pagamento de horas até o dia 30/04. Após isso, será enviado para desconto.</t>
  </si>
  <si>
    <t>Nicole Soares Freitas</t>
  </si>
  <si>
    <t>Atualizado ate 22/04/2026</t>
  </si>
  <si>
    <t>Antonio Yuri Andrews Nobre e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</si>
</sst>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]:mm:ss;@"/>
    <numFmt numFmtId="165" formatCode="[$-F400]h:mm:ss\ AM/PM"/>
    <numFmt numFmtId="166" formatCode="h:mm:ss;@"/>
    <numFmt numFmtId="167" formatCode="0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42423E"/>
      <name val="Calibri"/>
      <family val="2"/>
    </font>
    <font>
      <b/>
      <sz val="8"/>
      <color rgb="FF42423E"/>
      <name val="Calibri"/>
      <family val="2"/>
    </font>
    <font>
      <b/>
      <sz val="10"/>
      <color indexed="63"/>
      <name val="Calibri"/>
      <family val="2"/>
    </font>
    <font>
      <sz val="8"/>
      <color rgb="FF42423E"/>
      <name val="Arial"/>
      <family val="2"/>
    </font>
    <font>
      <sz val="10"/>
      <color theme="1"/>
      <name val="Calibri"/>
      <family val="2"/>
    </font>
    <font>
      <sz val="10"/>
      <color theme="6"/>
      <name val="Calibri"/>
      <family val="2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FF0000"/>
      <name val="Calibri"/>
      <family val="2"/>
    </font>
    <font>
      <sz val="7"/>
      <color rgb="FF42423E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3EF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1" xfId="0" applyFont="1" applyFill="1" applyBorder="1" applyAlignment="1">
      <alignment horizontal="left" vertical="top"/>
    </xf>
    <xf numFmtId="164" fontId="8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9" fontId="3" fillId="2" borderId="1" xfId="1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7" fillId="0" borderId="1" xfId="0" applyFont="1" applyBorder="1"/>
    <xf numFmtId="0" fontId="2" fillId="0" borderId="0" xfId="0" applyFont="1"/>
    <xf numFmtId="166" fontId="7" fillId="0" borderId="1" xfId="0" applyNumberFormat="1" applyFont="1" applyBorder="1" applyAlignment="1">
      <alignment horizontal="center"/>
    </xf>
    <xf numFmtId="165" fontId="12" fillId="4" borderId="1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20" fontId="0" fillId="0" borderId="0" xfId="0" applyNumberFormat="1"/>
    <xf numFmtId="164" fontId="0" fillId="0" borderId="0" xfId="0" applyNumberFormat="1"/>
    <xf numFmtId="21" fontId="0" fillId="0" borderId="0" xfId="0" applyNumberFormat="1"/>
    <xf numFmtId="14" fontId="6" fillId="3" borderId="2" xfId="0" applyNumberFormat="1" applyFont="1" applyFill="1" applyBorder="1"/>
    <xf numFmtId="165" fontId="0" fillId="0" borderId="0" xfId="0" applyNumberFormat="1"/>
    <xf numFmtId="14" fontId="15" fillId="3" borderId="2" xfId="0" applyNumberFormat="1" applyFont="1" applyFill="1" applyBorder="1" applyAlignment="1">
      <alignment wrapText="1"/>
    </xf>
    <xf numFmtId="0" fontId="15" fillId="3" borderId="2" xfId="0" applyFont="1" applyFill="1" applyBorder="1" applyAlignment="1">
      <alignment wrapText="1"/>
    </xf>
    <xf numFmtId="21" fontId="15" fillId="3" borderId="2" xfId="0" applyNumberFormat="1" applyFont="1" applyFill="1" applyBorder="1" applyAlignment="1">
      <alignment wrapText="1"/>
    </xf>
    <xf numFmtId="0" fontId="4" fillId="2" borderId="2" xfId="0" applyFont="1" applyFill="1" applyBorder="1" applyAlignment="1">
      <alignment horizontal="left" vertical="top"/>
    </xf>
    <xf numFmtId="20" fontId="0" fillId="0" borderId="0" xfId="0" applyNumberFormat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165" fontId="16" fillId="0" borderId="3" xfId="0" applyNumberFormat="1" applyFont="1" applyBorder="1" applyAlignment="1">
      <alignment horizontal="center"/>
    </xf>
    <xf numFmtId="165" fontId="16" fillId="5" borderId="4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165" fontId="3" fillId="2" borderId="1" xfId="0" applyNumberFormat="1" applyFont="1" applyFill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6" fontId="7" fillId="0" borderId="1" xfId="0" applyNumberFormat="1" applyFont="1" applyBorder="1" applyAlignment="1">
      <alignment horizontal="center" vertical="center"/>
    </xf>
    <xf numFmtId="21" fontId="0" fillId="0" borderId="0" xfId="0" applyNumberFormat="1" applyAlignment="1">
      <alignment horizontal="center"/>
    </xf>
    <xf numFmtId="14" fontId="12" fillId="4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0" fillId="0" borderId="0" xfId="0" applyNumberFormat="1"/>
    <xf numFmtId="0" fontId="17" fillId="4" borderId="1" xfId="0" applyFont="1" applyFill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165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7" fillId="6" borderId="1" xfId="0" applyFont="1" applyFill="1" applyBorder="1"/>
    <xf numFmtId="0" fontId="7" fillId="0" borderId="1" xfId="0" applyFont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18" fillId="8" borderId="1" xfId="0" applyFont="1" applyFill="1" applyBorder="1" applyAlignment="1">
      <alignment vertical="top" wrapText="1" readingOrder="1"/>
    </xf>
    <xf numFmtId="0" fontId="18" fillId="7" borderId="1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 vertical="center" wrapText="1" readingOrder="1"/>
    </xf>
    <xf numFmtId="0" fontId="18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left" vertical="top" wrapText="1" readingOrder="1"/>
    </xf>
    <xf numFmtId="0" fontId="7" fillId="8" borderId="1" xfId="0" applyFont="1" applyFill="1" applyBorder="1" applyAlignment="1">
      <alignment horizontal="left" vertical="top" wrapText="1" readingOrder="1"/>
    </xf>
    <xf numFmtId="167" fontId="7" fillId="7" borderId="1" xfId="0" applyNumberFormat="1" applyFont="1" applyFill="1" applyBorder="1" applyAlignment="1">
      <alignment horizontal="left"/>
    </xf>
    <xf numFmtId="167" fontId="7" fillId="0" borderId="1" xfId="0" applyNumberFormat="1" applyFont="1" applyBorder="1" applyAlignment="1">
      <alignment horizontal="left"/>
    </xf>
    <xf numFmtId="20" fontId="19" fillId="0" borderId="0" xfId="0" applyNumberFormat="1" applyFont="1" applyAlignment="1">
      <alignment horizontal="center"/>
    </xf>
    <xf numFmtId="20" fontId="13" fillId="0" borderId="0" xfId="0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10">
    <dxf>
      <alignment horizontal="center"/>
    </dxf>
    <dxf>
      <alignment horizontal="center"/>
    </dxf>
    <dxf>
      <alignment horizontal="center"/>
    </dxf>
    <dxf>
      <alignment vertical="center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numFmt numFmtId="165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a Nascimento" refreshedDate="46134.838021527779" createdVersion="8" refreshedVersion="8" minRefreshableVersion="3" recordCount="1284" xr:uid="{1B60B5A3-D656-4414-94C1-404D0FDB6637}">
  <cacheSource type="worksheet">
    <worksheetSource ref="A1:N1048576" sheet="BASE"/>
  </cacheSource>
  <cacheFields count="14">
    <cacheField name="DATA" numFmtId="0">
      <sharedItems containsNonDate="0" containsDate="1" containsString="0" containsBlank="1" minDate="2025-01-02T00:00:00" maxDate="2026-04-23T00:00:00" count="322"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9T00:00:00"/>
        <d v="2025-12-30T00:00:00"/>
        <d v="2025-12-31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20T00:00:00"/>
        <d v="2026-03-23T00:00:00"/>
        <d v="2026-03-24T00:00:00"/>
        <d v="2026-03-26T00:00:00"/>
        <d v="2026-03-27T00:00:00"/>
        <d v="2026-03-30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4T00:00:00"/>
        <d v="2026-04-15T00:00:00"/>
        <d v="2026-04-16T00:00:00"/>
        <d v="2026-04-17T00:00:00"/>
        <d v="2026-04-20T00:00:00"/>
        <d v="2026-04-22T00:00:00"/>
        <m/>
        <d v="2025-01-02T00:00:00" u="1"/>
        <d v="2025-01-03T00:00:00" u="1"/>
        <d v="2025-01-06T00:00:00" u="1"/>
        <d v="2025-01-07T00:00:00" u="1"/>
        <d v="2025-01-08T00:00:00" u="1"/>
        <d v="2025-01-09T00:00:00" u="1"/>
        <d v="2025-01-10T00:00:00" u="1"/>
        <d v="2025-01-13T00:00:00" u="1"/>
        <d v="2025-01-14T00:00:00" u="1"/>
        <d v="2025-01-15T00:00:00" u="1"/>
        <d v="2025-01-16T00:00:00" u="1"/>
        <d v="2025-01-17T00:00:00" u="1"/>
        <d v="2025-01-20T00:00:00" u="1"/>
        <d v="2025-01-21T00:00:00" u="1"/>
        <d v="2025-01-22T00:00:00" u="1"/>
        <d v="2025-01-23T00:00:00" u="1"/>
        <d v="2025-01-24T00:00:00" u="1"/>
        <d v="2025-01-27T00:00:00" u="1"/>
        <d v="2025-01-28T00:00:00" u="1"/>
        <d v="2025-01-29T00:00:00" u="1"/>
        <d v="2025-01-30T00:00:00" u="1"/>
        <d v="2025-01-31T00:00:00" u="1"/>
        <d v="2025-02-03T00:00:00" u="1"/>
        <d v="2025-02-04T00:00:00" u="1"/>
        <d v="2025-02-05T00:00:00" u="1"/>
        <d v="2025-02-06T00:00:00" u="1"/>
        <d v="2025-02-07T00:00:00" u="1"/>
        <d v="2025-02-10T00:00:00" u="1"/>
        <d v="2025-02-11T00:00:00" u="1"/>
        <d v="2025-02-12T00:00:00" u="1"/>
        <d v="2025-02-13T00:00:00" u="1"/>
        <d v="2025-02-14T00:00:00" u="1"/>
        <d v="2025-02-17T00:00:00" u="1"/>
        <d v="2025-02-18T00:00:00" u="1"/>
        <d v="2025-02-19T00:00:00" u="1"/>
        <d v="2025-02-20T00:00:00" u="1"/>
        <d v="2025-02-21T00:00:00" u="1"/>
        <d v="2025-02-24T00:00:00" u="1"/>
        <d v="2025-02-25T00:00:00" u="1"/>
        <d v="2025-02-26T00:00:00" u="1"/>
        <d v="2025-02-27T00:00:00" u="1"/>
        <d v="2025-02-28T00:00:00" u="1"/>
        <d v="2025-03-05T00:00:00" u="1"/>
        <d v="2025-03-06T00:00:00" u="1"/>
        <d v="2025-03-07T00:00:00" u="1"/>
        <d v="2025-03-10T00:00:00" u="1"/>
        <d v="2025-03-11T00:00:00" u="1"/>
        <d v="2025-03-12T00:00:00" u="1"/>
        <d v="2025-03-13T00:00:00" u="1"/>
        <d v="2025-03-14T00:00:00" u="1"/>
        <d v="2025-03-17T00:00:00" u="1"/>
        <d v="2025-03-18T00:00:00" u="1"/>
        <d v="2025-03-19T00:00:00" u="1"/>
        <d v="2025-03-20T00:00:00" u="1"/>
        <d v="2025-03-21T00:00:00" u="1"/>
        <d v="2025-03-24T00:00:00" u="1"/>
        <d v="2025-03-25T00:00:00" u="1"/>
        <d v="2025-03-26T00:00:00" u="1"/>
        <d v="2025-03-27T00:00:00" u="1"/>
        <d v="2025-03-28T00:00:00" u="1"/>
        <d v="2025-03-31T00:00:00" u="1"/>
        <d v="2025-04-01T00:00:00" u="1"/>
        <d v="2025-04-02T00:00:00" u="1"/>
        <d v="2025-04-03T00:00:00" u="1"/>
        <d v="2025-04-04T00:00:00" u="1"/>
        <d v="2025-04-07T00:00:00" u="1"/>
        <d v="2025-04-08T00:00:00" u="1"/>
        <d v="2025-04-09T00:00:00" u="1"/>
        <d v="2025-04-10T00:00:00" u="1"/>
        <d v="2025-04-11T00:00:00" u="1"/>
        <d v="2025-04-14T00:00:00" u="1"/>
        <d v="2025-04-15T00:00:00" u="1"/>
        <d v="2025-04-16T00:00:00" u="1"/>
        <d v="2025-04-17T00:00:00" u="1"/>
        <d v="2025-04-22T00:00:00" u="1"/>
        <d v="2025-04-23T00:00:00" u="1"/>
        <d v="2025-04-24T00:00:00" u="1"/>
        <d v="2025-04-25T00:00:00" u="1"/>
        <d v="2025-04-28T00:00:00" u="1"/>
        <d v="2025-04-29T00:00:00" u="1"/>
        <d v="2025-04-30T00:00:00" u="1"/>
        <d v="2025-05-02T00:00:00" u="1"/>
        <d v="2025-05-05T00:00:00" u="1"/>
        <d v="2025-05-06T00:00:00" u="1"/>
        <d v="2025-05-07T00:00:00" u="1"/>
        <d v="2025-05-08T00:00:00" u="1"/>
        <d v="2025-05-09T00:00:00" u="1"/>
        <d v="2025-05-12T00:00:00" u="1"/>
        <d v="2025-05-13T00:00:00" u="1"/>
        <d v="2025-05-14T00:00:00" u="1"/>
        <d v="2025-05-15T00:00:00" u="1"/>
        <d v="2025-05-16T00:00:00" u="1"/>
        <d v="2025-05-19T00:00:00" u="1"/>
        <d v="2025-05-20T00:00:00" u="1"/>
        <d v="2025-05-21T00:00:00" u="1"/>
        <d v="2025-05-22T00:00:00" u="1"/>
        <d v="2025-05-23T00:00:00" u="1"/>
        <d v="2025-05-26T00:00:00" u="1"/>
        <d v="2025-05-27T00:00:00" u="1"/>
        <d v="2025-05-28T00:00:00" u="1"/>
        <d v="2025-05-29T00:00:00" u="1"/>
        <d v="2025-05-30T00:00:00" u="1"/>
        <d v="2025-06-02T00:00:00" u="1"/>
        <d v="2025-06-03T00:00:00" u="1"/>
        <d v="2025-06-04T00:00:00" u="1"/>
        <d v="2025-06-05T00:00:00" u="1"/>
        <d v="2025-06-06T00:00:00" u="1"/>
        <d v="2025-06-09T00:00:00" u="1"/>
        <d v="2025-06-10T00:00:00" u="1"/>
        <d v="2025-06-11T00:00:00" u="1"/>
        <d v="2025-06-12T00:00:00" u="1"/>
        <d v="2025-06-13T00:00:00" u="1"/>
        <d v="2025-06-16T00:00:00" u="1"/>
        <d v="2025-06-17T00:00:00" u="1"/>
        <d v="2025-06-18T00:00:00" u="1"/>
        <d v="2025-06-20T00:00:00" u="1"/>
        <d v="2025-06-23T00:00:00" u="1"/>
        <d v="2025-06-24T00:00:00" u="1"/>
        <d v="2025-06-25T00:00:00" u="1"/>
        <d v="2025-06-26T00:00:00" u="1"/>
        <d v="2025-06-27T00:00:00" u="1"/>
        <d v="2025-06-30T00:00:00" u="1"/>
        <d v="2025-07-01T00:00:00" u="1"/>
        <d v="2025-07-02T00:00:00" u="1"/>
        <d v="2025-07-03T00:00:00" u="1"/>
        <d v="2025-07-04T00:00:00" u="1"/>
        <d v="2025-07-07T00:00:00" u="1"/>
        <d v="2025-07-08T00:00:00" u="1"/>
        <d v="2025-07-09T00:00:00" u="1"/>
        <d v="2025-07-10T00:00:00" u="1"/>
        <d v="2025-07-11T00:00:00" u="1"/>
        <d v="2025-07-14T00:00:00" u="1"/>
        <d v="2025-07-15T00:00:00" u="1"/>
        <d v="2025-07-16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1T00:00:00" u="1"/>
        <d v="2025-08-04T00:00:00" u="1"/>
        <d v="2025-08-05T00:00:00" u="1"/>
        <d v="2025-08-06T00:00:00" u="1"/>
        <d v="2025-08-07T00:00:00" u="1"/>
        <d v="2025-08-08T00:00:00" u="1"/>
        <d v="2025-08-11T00:00:00" u="1"/>
        <d v="2025-08-12T00:00:00" u="1"/>
        <d v="2025-08-13T00:00:00" u="1"/>
        <d v="2025-08-14T00:00:00" u="1"/>
        <d v="2025-08-18T00:00:00" u="1"/>
        <d v="2025-08-19T00:00:00" u="1"/>
        <d v="2025-08-20T00:00:00" u="1"/>
        <d v="2025-08-21T00:00:00" u="1"/>
        <d v="2025-08-22T00:00:00" u="1"/>
        <d v="2025-08-25T00:00:00" u="1"/>
        <d v="2025-08-26T00:00:00" u="1"/>
        <d v="2025-08-27T00:00:00" u="1"/>
        <d v="2025-08-28T00:00:00" u="1"/>
        <d v="2025-08-29T00:00:00" u="1"/>
        <d v="2025-09-01T00:00:00" u="1"/>
        <d v="2025-09-02T00:00:00" u="1"/>
        <d v="2025-09-03T00:00:00" u="1"/>
        <d v="2025-09-04T00:00:00" u="1"/>
        <d v="2025-09-05T00:00:00" u="1"/>
        <d v="2025-09-08T00:00:00" u="1"/>
        <d v="2025-09-09T00:00:00" u="1"/>
        <d v="2025-09-10T00:00:00" u="1"/>
        <d v="2025-09-11T00:00:00" u="1"/>
        <d v="2025-09-12T00:00:00" u="1"/>
        <d v="2025-09-15T00:00:00" u="1"/>
        <d v="2025-09-16T00:00:00" u="1"/>
        <d v="2025-09-17T00:00:00" u="1"/>
        <d v="2025-09-18T00:00:00" u="1"/>
        <d v="2025-09-19T00:00:00" u="1"/>
        <d v="2025-09-22T00:00:00" u="1"/>
        <d v="2025-09-23T00:00:00" u="1"/>
        <d v="2025-09-24T00:00:00" u="1"/>
        <d v="2025-09-25T00:00:00" u="1"/>
        <d v="2025-09-26T00:00:00" u="1"/>
        <d v="2025-09-29T00:00:00" u="1"/>
        <d v="2025-09-30T00:00:00" u="1"/>
        <d v="2025-10-01T00:00:00" u="1"/>
        <d v="2025-10-02T00:00:00" u="1"/>
        <d v="2025-10-03T00:00:00" u="1"/>
        <d v="2025-10-06T00:00:00" u="1"/>
        <d v="2025-10-07T00:00:00" u="1"/>
        <d v="2025-10-08T00:00:00" u="1"/>
        <d v="2025-10-09T00:00:00" u="1"/>
        <d v="2025-10-10T00:00:00" u="1"/>
        <d v="2025-10-13T00:00:00" u="1"/>
        <d v="2025-10-14T00:00:00" u="1"/>
        <d v="2025-10-15T00:00:00" u="1"/>
        <d v="2025-10-16T00:00:00" u="1"/>
        <d v="2025-10-17T00:00:00" u="1"/>
        <d v="2025-10-20T00:00:00" u="1"/>
        <d v="2025-10-21T00:00:00" u="1"/>
        <d v="2025-10-22T00:00:00" u="1"/>
        <d v="2025-10-23T00:00:00" u="1"/>
        <d v="2025-10-24T00:00:00" u="1"/>
        <d v="2025-10-27T00:00:00" u="1"/>
        <d v="2025-10-28T00:00:00" u="1"/>
        <d v="2025-10-29T00:00:00" u="1"/>
        <d v="2025-10-30T00:00:00" u="1"/>
        <d v="2025-10-31T00:00:00" u="1"/>
        <d v="2025-11-03T00:00:00" u="1"/>
        <d v="2025-11-04T00:00:00" u="1"/>
        <d v="2025-11-05T00:00:00" u="1"/>
        <d v="2025-11-06T00:00:00" u="1"/>
        <d v="2025-11-07T00:00:00" u="1"/>
        <d v="2025-11-10T00:00:00" u="1"/>
        <d v="2025-11-11T00:00:00" u="1"/>
        <d v="2025-11-12T00:00:00" u="1"/>
        <d v="2025-11-13T00:00:00" u="1"/>
        <d v="2025-11-14T00:00:00" u="1"/>
        <d v="2025-11-17T00:00:00" u="1"/>
        <d v="2025-11-18T00:00:00" u="1"/>
        <d v="2025-11-19T00:00:00" u="1"/>
        <d v="2025-11-21T00:00:00" u="1"/>
        <d v="2025-11-24T00:00:00" u="1"/>
        <d v="2025-11-25T00:00:00" u="1"/>
        <d v="2025-11-26T00:00:00" u="1"/>
        <d v="2025-11-27T00:00:00" u="1"/>
        <d v="2025-11-28T00:00:00" u="1"/>
      </sharedItems>
    </cacheField>
    <cacheField name="ANO" numFmtId="0">
      <sharedItems containsString="0" containsBlank="1" containsNumber="1" containsInteger="1" minValue="2025" maxValue="2026" count="3">
        <n v="2025"/>
        <n v="2026"/>
        <m/>
      </sharedItems>
    </cacheField>
    <cacheField name="Mês" numFmtId="0">
      <sharedItems containsBlank="1" count="13">
        <s v="dezembro"/>
        <s v="janeiro"/>
        <s v="fevereiro"/>
        <s v="março"/>
        <s v="abril"/>
        <m/>
        <s v="maio" u="1"/>
        <s v="junho" u="1"/>
        <s v="julho" u="1"/>
        <s v="agosto" u="1"/>
        <s v="setembro" u="1"/>
        <s v="outubro" u="1"/>
        <s v="novembro" u="1"/>
      </sharedItems>
    </cacheField>
    <cacheField name="AGENTE" numFmtId="0">
      <sharedItems containsBlank="1" count="54">
        <s v="ANA LAYS GARCES LOPES"/>
        <s v="Ana Leticia do Nascimento Paz"/>
        <s v="ANDREA DE SOUSA VIEIRA"/>
        <s v="antonio yuri andrews nobre e silva"/>
        <s v="Carla wardja Matias Marcolino"/>
        <s v="Celiane Lourenço de Sousa"/>
        <s v="ELINETE RIBEIRO COSTA"/>
        <s v="FRANCISCO IVONILDO SOUSA"/>
        <s v="Gabriel Queiroz Goncalves"/>
        <s v="Henrique Silva Souza"/>
        <s v="MARIA DAYANE COSTA BARBOZA NOGUEIRA"/>
        <s v="MARIA DE FATIMA ANDRADE FERNANDES"/>
        <s v="MARIA ERIKA CARLOS DA COSTA"/>
        <s v="MARIA NATALIA FARIAS SILVA"/>
        <s v="MARIANA MACIEL LIMA"/>
        <s v="Mateus Costa Franco"/>
        <s v="Milena dos Reis Andrade"/>
        <s v="ROMARIO VASCONCELOS OLIVEIRA"/>
        <s v="VICTOR VASCONCELOS OLIVEIRA"/>
        <s v="IZALI DUTRA DA CUNHA"/>
        <s v="JESSICA FRIDA PAIVA VASCONCELOS"/>
        <s v="LORENA RIBEIRO DOS SANTOS"/>
        <s v="Ana Lidia da Cruz Miranda"/>
        <s v="Nicole Soares Freitas"/>
        <s v="Rubens da Silva Bento"/>
        <s v="Shayonara Silva Castro"/>
        <s v="Viviane Firmino Felisberto"/>
        <m/>
        <s v="Alexsandra Marcia Saraiva Nobre" u="1"/>
        <s v="Joaquim Hamilton Silva Pinto Junior" u="1"/>
        <s v="Patricia Castro Barros" u="1"/>
        <s v="Antonia Yohana Assunção Marques" u="1"/>
        <s v="Jacqueline da Silva" u="1"/>
        <s v="Denise Nunes Carvalho do Nascimento" u="1"/>
        <s v="KEDMA CAMPOS DA SILVA" u="1"/>
        <s v="Tais Lisandra de Souza Costa" u="1"/>
        <s v="Raquel Paulino de Morais Sousa" u="1"/>
        <s v="DOUGLAS WENDELL DOS SANTOS SOUZA" u="1"/>
        <s v="Claudia Raiane de castro" u="1"/>
        <s v="Jucelio natan da Conceicao Lopes" u="1"/>
        <s v="Liana nocrato holanda lemos" u="1"/>
        <s v="Paloma Maury Mauricio" u="1"/>
        <s v="Calvet Carvalho Chaves Djunior" u="1"/>
        <s v="YASMIN FRANCA DO NASCIMENTO" u="1"/>
        <s v="MAYANE LOPES DA SILVA MAIA" u="1"/>
        <s v="Hannah Pereira Lopes" u="1"/>
        <s v="MANUELE SOUSA MARTINS" u="1"/>
        <s v="LARISSA GOMES MARQUES" u="1"/>
        <s v="Caua Victor de Souza Romao" u="1"/>
        <s v="Maria Eduarda Carvalho Lemos" u="1"/>
        <s v="Icaro Pereira De Lima" u="1"/>
        <s v="ANA JULIA COSTA DOS SANTOS" u="1"/>
        <s v="Rafael Pereira" u="1"/>
        <s v="LEIDE MARA INACIO MIRANDA" u="1"/>
      </sharedItems>
    </cacheField>
    <cacheField name="Grupo" numFmtId="0">
      <sharedItems containsBlank="1" count="10">
        <s v="Alares"/>
        <s v="Unimed"/>
        <s v="Educação"/>
        <s v="AgoraCred"/>
        <s v="M.Dias"/>
        <m/>
        <s v="Banese" u="1"/>
        <s v="Banese Card" u="1"/>
        <s v="Unimed Nacional" u="1"/>
        <s v="Unimed " u="1"/>
      </sharedItems>
    </cacheField>
    <cacheField name="Pausas total" numFmtId="0">
      <sharedItems containsNonDate="0" containsDate="1" containsString="0" containsBlank="1" minDate="1899-12-30T00:00:00" maxDate="1899-12-30T02:25:04"/>
    </cacheField>
    <cacheField name="PRIMEIRO LOGIN" numFmtId="0">
      <sharedItems containsNonDate="0" containsDate="1" containsString="0" containsBlank="1" minDate="1899-12-30T07:57:29" maxDate="1899-12-30T13:37:10"/>
    </cacheField>
    <cacheField name="湥TIMO LOGOUT" numFmtId="0">
      <sharedItems containsNonDate="0" containsDate="1" containsString="0" containsBlank="1" minDate="1899-12-30T08:10:29" maxDate="1899-12-30T19:24:13"/>
    </cacheField>
    <cacheField name="TEMPO LOGADO" numFmtId="0">
      <sharedItems containsNonDate="0" containsDate="1" containsString="0" containsBlank="1" minDate="1899-12-30T00:09:58" maxDate="1899-12-30T10:00:16"/>
    </cacheField>
    <cacheField name="META" numFmtId="0">
      <sharedItems containsNonDate="0" containsDate="1" containsString="0" containsBlank="1" minDate="1899-12-30T06:00:00" maxDate="1899-12-30T07:12:00"/>
    </cacheField>
    <cacheField name="Crédito" numFmtId="0">
      <sharedItems containsNonDate="0" containsDate="1" containsString="0" containsBlank="1" minDate="1899-12-30T00:00:00" maxDate="1899-12-30T03:56:32"/>
    </cacheField>
    <cacheField name="DEFICT" numFmtId="0">
      <sharedItems containsNonDate="0" containsDate="1" containsString="0" containsBlank="1" minDate="1899-12-30T00:00:00" maxDate="1899-12-30T07:02:02"/>
    </cacheField>
    <cacheField name="Pausa" numFmtId="0">
      <sharedItems containsString="0" containsBlank="1" containsNumber="1" minValue="0" maxValue="0.3003750937734434"/>
    </cacheField>
    <cacheField name="% tempo logado" numFmtId="0">
      <sharedItems containsString="0" containsBlank="1" containsNumber="1" minValue="2.3070987654320956E-2" maxValue="1.65703703703703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4">
  <r>
    <x v="0"/>
    <x v="0"/>
    <x v="0"/>
    <x v="0"/>
    <x v="0"/>
    <d v="1899-12-30T00:53:07"/>
    <d v="1899-12-30T08:01:54"/>
    <d v="1899-12-30T15:12:39"/>
    <d v="1899-12-30T07:10:45"/>
    <d v="1899-12-30T07:12:00"/>
    <m/>
    <d v="1899-12-30T00:01:15"/>
    <n v="0.12331205262139677"/>
    <n v="0.99710648148148162"/>
  </r>
  <r>
    <x v="0"/>
    <x v="0"/>
    <x v="0"/>
    <x v="1"/>
    <x v="1"/>
    <d v="1899-12-30T01:01:13"/>
    <d v="1899-12-30T12:10:19"/>
    <d v="1899-12-30T18:00:45"/>
    <d v="1899-12-30T05:50:26"/>
    <d v="1899-12-30T06:00:00"/>
    <m/>
    <d v="1899-12-30T00:09:34"/>
    <n v="0.17468848092837441"/>
    <n v="0.97342592592592592"/>
  </r>
  <r>
    <x v="0"/>
    <x v="0"/>
    <x v="0"/>
    <x v="2"/>
    <x v="2"/>
    <d v="1899-12-30T00:00:00"/>
    <d v="1899-12-30T10:32:21"/>
    <d v="1899-12-30T16:52:15"/>
    <d v="1899-12-30T06:19:54"/>
    <d v="1899-12-30T07:12:00"/>
    <m/>
    <d v="1899-12-30T00:52:06"/>
    <n v="0"/>
    <n v="0.87939814814814821"/>
  </r>
  <r>
    <x v="0"/>
    <x v="0"/>
    <x v="0"/>
    <x v="3"/>
    <x v="1"/>
    <d v="1899-12-30T01:09:42"/>
    <d v="1899-12-30T08:05:31"/>
    <d v="1899-12-30T15:13:39"/>
    <d v="1899-12-30T07:08:08"/>
    <d v="1899-12-30T07:12:00"/>
    <m/>
    <d v="1899-12-30T00:03:52"/>
    <n v="0.162799750856431"/>
    <n v="0.99104938271604959"/>
  </r>
  <r>
    <x v="0"/>
    <x v="0"/>
    <x v="0"/>
    <x v="4"/>
    <x v="3"/>
    <d v="1899-12-30T01:04:02"/>
    <d v="1899-12-30T08:03:06"/>
    <d v="1899-12-30T15:12:07"/>
    <d v="1899-12-30T07:09:01"/>
    <d v="1899-12-30T07:12:00"/>
    <m/>
    <d v="1899-12-30T00:02:59"/>
    <n v="0.1492560506584826"/>
    <n v="0.99309413580246908"/>
  </r>
  <r>
    <x v="0"/>
    <x v="0"/>
    <x v="0"/>
    <x v="5"/>
    <x v="1"/>
    <d v="1899-12-30T00:58:45"/>
    <d v="1899-12-30T08:02:47"/>
    <d v="1899-12-30T15:13:06"/>
    <d v="1899-12-30T07:10:19"/>
    <d v="1899-12-30T07:12:00"/>
    <m/>
    <d v="1899-12-30T00:01:41"/>
    <n v="0.13652736356946435"/>
    <n v="0.9961033950617284"/>
  </r>
  <r>
    <x v="0"/>
    <x v="0"/>
    <x v="0"/>
    <x v="6"/>
    <x v="3"/>
    <d v="1899-12-30T00:59:47"/>
    <d v="1899-12-30T10:51:04"/>
    <d v="1899-12-30T18:03:03"/>
    <d v="1899-12-30T07:11:59"/>
    <d v="1899-12-30T07:12:00"/>
    <m/>
    <d v="1899-12-30T00:00:01"/>
    <n v="0.13839268490296691"/>
    <n v="0.9999614197530865"/>
  </r>
  <r>
    <x v="0"/>
    <x v="0"/>
    <x v="0"/>
    <x v="7"/>
    <x v="0"/>
    <d v="1899-12-30T00:47:36"/>
    <d v="1899-12-30T08:00:34"/>
    <d v="1899-12-30T15:12:37"/>
    <d v="1899-12-30T07:12:03"/>
    <d v="1899-12-30T07:12:00"/>
    <d v="1899-12-30T00:00:03"/>
    <m/>
    <n v="0.1101724337460942"/>
    <n v="1.0001157407407408"/>
  </r>
  <r>
    <x v="0"/>
    <x v="0"/>
    <x v="0"/>
    <x v="8"/>
    <x v="1"/>
    <d v="1899-12-30T00:57:54"/>
    <d v="1899-12-30T10:59:26"/>
    <d v="1899-12-30T18:00:31"/>
    <d v="1899-12-30T07:01:05"/>
    <d v="1899-12-30T07:12:00"/>
    <m/>
    <d v="1899-12-30T00:10:55"/>
    <n v="0.13750247377795369"/>
    <n v="0.97472993827160503"/>
  </r>
  <r>
    <x v="0"/>
    <x v="0"/>
    <x v="0"/>
    <x v="9"/>
    <x v="3"/>
    <d v="1899-12-30T01:04:17"/>
    <d v="1899-12-30T11:00:06"/>
    <d v="1899-12-30T18:00:07"/>
    <d v="1899-12-30T07:00:01"/>
    <d v="1899-12-30T07:12:00"/>
    <m/>
    <d v="1899-12-30T00:11:59"/>
    <n v="0.15304948216340622"/>
    <n v="0.97226080246913582"/>
  </r>
  <r>
    <x v="0"/>
    <x v="0"/>
    <x v="0"/>
    <x v="10"/>
    <x v="3"/>
    <d v="1899-12-30T00:52:11"/>
    <d v="1899-12-30T08:43:24"/>
    <d v="1899-12-30T15:42:28"/>
    <d v="1899-12-30T06:59:04"/>
    <d v="1899-12-30T07:12:00"/>
    <m/>
    <d v="1899-12-30T00:12:56"/>
    <n v="0.12452274896595607"/>
    <n v="0.97006172839506188"/>
  </r>
  <r>
    <x v="0"/>
    <x v="0"/>
    <x v="0"/>
    <x v="11"/>
    <x v="4"/>
    <d v="1899-12-30T01:00:56"/>
    <d v="1899-12-30T08:00:25"/>
    <d v="1899-12-30T16:16:14"/>
    <d v="1899-12-30T08:15:49"/>
    <d v="1899-12-30T07:12:00"/>
    <d v="1899-12-30T01:03:49"/>
    <m/>
    <n v="0.12289488722309994"/>
    <n v="1.1477237654320989"/>
  </r>
  <r>
    <x v="0"/>
    <x v="0"/>
    <x v="0"/>
    <x v="12"/>
    <x v="2"/>
    <d v="1899-12-30T01:11:30"/>
    <d v="1899-12-30T08:05:15"/>
    <d v="1899-12-30T15:12:58"/>
    <d v="1899-12-30T07:07:43"/>
    <d v="1899-12-30T07:12:00"/>
    <m/>
    <d v="1899-12-30T00:04:17"/>
    <n v="0.16716673810544361"/>
    <n v="0.99008487654321009"/>
  </r>
  <r>
    <x v="0"/>
    <x v="0"/>
    <x v="0"/>
    <x v="13"/>
    <x v="1"/>
    <d v="1899-12-30T00:59:38"/>
    <d v="1899-12-30T08:00:28"/>
    <d v="1899-12-30T15:13:39"/>
    <d v="1899-12-30T07:13:11"/>
    <d v="1899-12-30T07:12:00"/>
    <d v="1899-12-30T00:01:11"/>
    <m/>
    <n v="0.13766303720518638"/>
    <n v="1.0027391975308644"/>
  </r>
  <r>
    <x v="0"/>
    <x v="0"/>
    <x v="0"/>
    <x v="14"/>
    <x v="0"/>
    <d v="1899-12-30T01:01:08"/>
    <d v="1899-12-30T10:50:36"/>
    <d v="1899-12-30T18:00:43"/>
    <d v="1899-12-30T07:10:07"/>
    <d v="1899-12-30T07:12:00"/>
    <m/>
    <d v="1899-12-30T00:01:53"/>
    <n v="0.14213197969543145"/>
    <n v="0.99564043209876552"/>
  </r>
  <r>
    <x v="0"/>
    <x v="0"/>
    <x v="0"/>
    <x v="15"/>
    <x v="0"/>
    <d v="1899-12-30T01:01:07"/>
    <d v="1899-12-30T10:57:40"/>
    <d v="1899-12-30T18:00:17"/>
    <d v="1899-12-30T07:02:37"/>
    <d v="1899-12-30T07:12:00"/>
    <m/>
    <d v="1899-12-30T00:09:23"/>
    <n v="0.14461489923886897"/>
    <n v="0.97827932098765413"/>
  </r>
  <r>
    <x v="0"/>
    <x v="0"/>
    <x v="0"/>
    <x v="16"/>
    <x v="0"/>
    <d v="1899-12-30T01:03:53"/>
    <d v="1899-12-30T08:00:35"/>
    <d v="1899-12-30T16:00:16"/>
    <d v="1899-12-30T07:59:41"/>
    <d v="1899-12-30T07:12:00"/>
    <d v="1899-12-30T00:47:41"/>
    <m/>
    <n v="0.1331781383551649"/>
    <n v="1.110378086419753"/>
  </r>
  <r>
    <x v="0"/>
    <x v="0"/>
    <x v="0"/>
    <x v="17"/>
    <x v="2"/>
    <d v="1899-12-30T00:00:00"/>
    <d v="1899-12-30T08:28:00"/>
    <d v="1899-12-30T16:47:01"/>
    <d v="1899-12-30T08:19:01"/>
    <d v="1899-12-30T07:12:00"/>
    <d v="1899-12-30T01:07:01"/>
    <m/>
    <n v="0"/>
    <n v="1.1551311728395062"/>
  </r>
  <r>
    <x v="0"/>
    <x v="0"/>
    <x v="0"/>
    <x v="18"/>
    <x v="2"/>
    <d v="1899-12-30T00:00:00"/>
    <d v="1899-12-30T08:31:27"/>
    <d v="1899-12-30T15:29:10"/>
    <d v="1899-12-30T06:57:43"/>
    <d v="1899-12-30T07:12:00"/>
    <m/>
    <d v="1899-12-30T00:14:17"/>
    <n v="0"/>
    <n v="0.96693672839506184"/>
  </r>
  <r>
    <x v="1"/>
    <x v="0"/>
    <x v="0"/>
    <x v="0"/>
    <x v="0"/>
    <d v="1899-12-30T00:56:00"/>
    <d v="1899-12-30T08:00:36"/>
    <d v="1899-12-30T15:21:13"/>
    <d v="1899-12-30T07:20:37"/>
    <d v="1899-12-30T07:12:00"/>
    <d v="1899-12-30T00:08:37"/>
    <m/>
    <n v="0.1270946022619813"/>
    <n v="1.0199459876543213"/>
  </r>
  <r>
    <x v="1"/>
    <x v="0"/>
    <x v="0"/>
    <x v="1"/>
    <x v="1"/>
    <d v="1899-12-30T00:53:45"/>
    <d v="1899-12-30T12:32:17"/>
    <d v="1899-12-30T18:00:26"/>
    <d v="1899-12-30T05:28:09"/>
    <d v="1899-12-30T06:00:00"/>
    <m/>
    <d v="1899-12-30T00:31:51"/>
    <n v="0.16379704403474021"/>
    <n v="0.91152777777777771"/>
  </r>
  <r>
    <x v="1"/>
    <x v="0"/>
    <x v="0"/>
    <x v="2"/>
    <x v="2"/>
    <d v="1899-12-30T00:00:00"/>
    <d v="1899-12-30T08:07:55"/>
    <d v="1899-12-30T15:57:49"/>
    <d v="1899-12-30T07:49:54"/>
    <d v="1899-12-30T07:12:00"/>
    <d v="1899-12-30T00:37:54"/>
    <m/>
    <n v="0"/>
    <n v="1.0877314814814816"/>
  </r>
  <r>
    <x v="1"/>
    <x v="0"/>
    <x v="0"/>
    <x v="3"/>
    <x v="1"/>
    <d v="1899-12-30T01:01:26"/>
    <d v="1899-12-30T08:11:15"/>
    <d v="1899-12-30T15:13:56"/>
    <d v="1899-12-30T07:02:41"/>
    <d v="1899-12-30T07:12:00"/>
    <m/>
    <d v="1899-12-30T00:09:19"/>
    <n v="0.14534127203185995"/>
    <n v="0.97843364197530869"/>
  </r>
  <r>
    <x v="1"/>
    <x v="0"/>
    <x v="0"/>
    <x v="5"/>
    <x v="1"/>
    <d v="1899-12-30T00:51:28"/>
    <d v="1899-12-30T08:03:53"/>
    <d v="1899-12-30T15:15:51"/>
    <d v="1899-12-30T07:11:58"/>
    <d v="1899-12-30T07:12:00"/>
    <m/>
    <d v="1899-12-30T00:00:02"/>
    <n v="0.11914499575584533"/>
    <n v="0.99992283950617311"/>
  </r>
  <r>
    <x v="1"/>
    <x v="0"/>
    <x v="0"/>
    <x v="6"/>
    <x v="3"/>
    <d v="1899-12-30T00:49:37"/>
    <d v="1899-12-30T10:06:55"/>
    <d v="1899-12-30T18:00:56"/>
    <d v="1899-12-30T07:54:01"/>
    <d v="1899-12-30T07:12:00"/>
    <d v="1899-12-30T00:42:01"/>
    <m/>
    <n v="0.1046728314756865"/>
    <n v="1.0972608024691359"/>
  </r>
  <r>
    <x v="1"/>
    <x v="0"/>
    <x v="0"/>
    <x v="7"/>
    <x v="0"/>
    <d v="1899-12-30T00:51:00"/>
    <d v="1899-12-30T08:00:34"/>
    <d v="1899-12-30T15:13:00"/>
    <d v="1899-12-30T07:12:26"/>
    <d v="1899-12-30T07:12:00"/>
    <d v="1899-12-30T00:00:26"/>
    <m/>
    <n v="0.1179372542973869"/>
    <n v="1.001003086419753"/>
  </r>
  <r>
    <x v="1"/>
    <x v="0"/>
    <x v="0"/>
    <x v="8"/>
    <x v="1"/>
    <d v="1899-12-30T01:10:23"/>
    <d v="1899-12-30T10:39:55"/>
    <d v="1899-12-30T18:00:23"/>
    <d v="1899-12-30T07:20:28"/>
    <d v="1899-12-30T07:12:00"/>
    <d v="1899-12-30T00:08:28"/>
    <m/>
    <n v="0.15979264416527927"/>
    <n v="1.0195987654320988"/>
  </r>
  <r>
    <x v="1"/>
    <x v="0"/>
    <x v="0"/>
    <x v="9"/>
    <x v="3"/>
    <d v="1899-12-30T01:01:35"/>
    <d v="1899-12-30T10:49:23"/>
    <d v="1899-12-30T18:00:13"/>
    <d v="1899-12-30T07:10:50"/>
    <d v="1899-12-30T07:12:00"/>
    <m/>
    <d v="1899-12-30T00:01:10"/>
    <n v="0.14294003868471952"/>
    <n v="0.99729938271604945"/>
  </r>
  <r>
    <x v="1"/>
    <x v="0"/>
    <x v="0"/>
    <x v="10"/>
    <x v="3"/>
    <d v="1899-12-30T01:03:14"/>
    <d v="1899-12-30T08:00:00"/>
    <d v="1899-12-30T15:12:14"/>
    <d v="1899-12-30T07:12:14"/>
    <d v="1899-12-30T07:12:00"/>
    <d v="1899-12-30T00:00:14"/>
    <m/>
    <n v="0.1462944397316264"/>
    <n v="1.0005401234567903"/>
  </r>
  <r>
    <x v="1"/>
    <x v="0"/>
    <x v="0"/>
    <x v="11"/>
    <x v="4"/>
    <d v="1899-12-30T00:50:25"/>
    <d v="1899-12-30T08:00:01"/>
    <d v="1899-12-30T15:13:57"/>
    <d v="1899-12-30T07:13:56"/>
    <d v="1899-12-30T07:12:00"/>
    <d v="1899-12-30T00:01:56"/>
    <m/>
    <n v="0.11618528191734524"/>
    <n v="1.0044753086419753"/>
  </r>
  <r>
    <x v="1"/>
    <x v="0"/>
    <x v="0"/>
    <x v="12"/>
    <x v="2"/>
    <d v="1899-12-30T01:01:06"/>
    <d v="1899-12-30T08:00:28"/>
    <d v="1899-12-30T15:12:29"/>
    <d v="1899-12-30T07:12:01"/>
    <d v="1899-12-30T07:12:00"/>
    <d v="1899-12-30T00:00:01"/>
    <m/>
    <n v="0.14142972879132751"/>
    <n v="1.0000385802469134"/>
  </r>
  <r>
    <x v="1"/>
    <x v="0"/>
    <x v="0"/>
    <x v="13"/>
    <x v="1"/>
    <d v="1899-12-30T00:56:33"/>
    <d v="1899-12-30T08:00:27"/>
    <d v="1899-12-30T15:20:22"/>
    <d v="1899-12-30T07:19:55"/>
    <d v="1899-12-30T07:12:00"/>
    <d v="1899-12-30T00:07:55"/>
    <m/>
    <n v="0.1285470733093389"/>
    <n v="1.0183256172839505"/>
  </r>
  <r>
    <x v="1"/>
    <x v="0"/>
    <x v="0"/>
    <x v="14"/>
    <x v="0"/>
    <d v="1899-12-30T01:05:05"/>
    <d v="1899-12-30T12:30:09"/>
    <d v="1899-12-30T18:00:15"/>
    <d v="1899-12-30T05:30:06"/>
    <d v="1899-12-30T07:12:00"/>
    <m/>
    <d v="1899-12-30T01:41:54"/>
    <n v="0.19716247601736847"/>
    <n v="0.76412037037037028"/>
  </r>
  <r>
    <x v="1"/>
    <x v="0"/>
    <x v="0"/>
    <x v="15"/>
    <x v="0"/>
    <d v="1899-12-30T01:04:49"/>
    <d v="1899-12-30T10:52:14"/>
    <d v="1899-12-30T18:00:15"/>
    <d v="1899-12-30T07:08:01"/>
    <d v="1899-12-30T07:12:00"/>
    <m/>
    <d v="1899-12-30T00:03:59"/>
    <n v="0.15143491297067868"/>
    <n v="0.99077932098765442"/>
  </r>
  <r>
    <x v="1"/>
    <x v="0"/>
    <x v="0"/>
    <x v="16"/>
    <x v="0"/>
    <d v="1899-12-30T01:01:36"/>
    <d v="1899-12-30T08:00:37"/>
    <d v="1899-12-30T15:13:27"/>
    <d v="1899-12-30T07:12:50"/>
    <d v="1899-12-30T07:12:00"/>
    <d v="1899-12-30T00:00:50"/>
    <m/>
    <n v="0.14231805929919136"/>
    <n v="1.001929012345679"/>
  </r>
  <r>
    <x v="1"/>
    <x v="0"/>
    <x v="0"/>
    <x v="17"/>
    <x v="2"/>
    <d v="1899-12-30T00:00:00"/>
    <d v="1899-12-30T08:39:43"/>
    <d v="1899-12-30T16:12:33"/>
    <d v="1899-12-30T07:32:50"/>
    <d v="1899-12-30T07:12:00"/>
    <d v="1899-12-30T00:20:50"/>
    <m/>
    <n v="0"/>
    <n v="1.0482253086419755"/>
  </r>
  <r>
    <x v="1"/>
    <x v="0"/>
    <x v="0"/>
    <x v="18"/>
    <x v="2"/>
    <d v="1899-12-30T00:00:00"/>
    <d v="1899-12-30T08:02:43"/>
    <d v="1899-12-30T15:54:10"/>
    <d v="1899-12-30T07:51:27"/>
    <d v="1899-12-30T07:12:00"/>
    <d v="1899-12-30T00:39:27"/>
    <m/>
    <n v="0"/>
    <n v="1.0913194444444443"/>
  </r>
  <r>
    <x v="2"/>
    <x v="0"/>
    <x v="0"/>
    <x v="0"/>
    <x v="0"/>
    <d v="1899-12-30T01:19:12"/>
    <d v="1899-12-30T08:01:08"/>
    <d v="1899-12-30T15:12:24"/>
    <d v="1899-12-30T07:11:16"/>
    <d v="1899-12-30T07:12:00"/>
    <m/>
    <d v="1899-12-30T00:00:44"/>
    <n v="0.18364507651878187"/>
    <n v="0.99830246913580267"/>
  </r>
  <r>
    <x v="2"/>
    <x v="0"/>
    <x v="0"/>
    <x v="1"/>
    <x v="1"/>
    <d v="1899-12-30T00:48:14"/>
    <d v="1899-12-30T12:54:15"/>
    <d v="1899-12-30T18:00:46"/>
    <d v="1899-12-30T05:06:31"/>
    <d v="1899-12-30T06:00:00"/>
    <m/>
    <d v="1899-12-30T00:53:29"/>
    <n v="0.15735957805448314"/>
    <n v="0.85143518518518535"/>
  </r>
  <r>
    <x v="2"/>
    <x v="0"/>
    <x v="0"/>
    <x v="2"/>
    <x v="2"/>
    <d v="1899-12-30T00:00:00"/>
    <d v="1899-12-30T08:08:15"/>
    <d v="1899-12-30T15:24:13"/>
    <d v="1899-12-30T07:15:58"/>
    <d v="1899-12-30T07:12:00"/>
    <d v="1899-12-30T00:03:58"/>
    <m/>
    <n v="0"/>
    <n v="1.0091820987654323"/>
  </r>
  <r>
    <x v="2"/>
    <x v="0"/>
    <x v="0"/>
    <x v="3"/>
    <x v="1"/>
    <d v="1899-12-30T01:09:21"/>
    <d v="1899-12-30T08:02:35"/>
    <d v="1899-12-30T15:13:32"/>
    <d v="1899-12-30T07:10:57"/>
    <d v="1899-12-30T07:12:00"/>
    <m/>
    <d v="1899-12-30T00:01:03"/>
    <n v="0.1609235410140388"/>
    <n v="0.99756944444444429"/>
  </r>
  <r>
    <x v="2"/>
    <x v="0"/>
    <x v="0"/>
    <x v="4"/>
    <x v="3"/>
    <d v="1899-12-30T01:11:34"/>
    <d v="1899-12-30T08:01:55"/>
    <d v="1899-12-30T16:12:38"/>
    <d v="1899-12-30T08:10:43"/>
    <d v="1899-12-30T07:12:00"/>
    <d v="1899-12-30T00:58:43"/>
    <m/>
    <n v="0.14584111673402844"/>
    <n v="1.1359182098765435"/>
  </r>
  <r>
    <x v="2"/>
    <x v="0"/>
    <x v="0"/>
    <x v="5"/>
    <x v="1"/>
    <d v="1899-12-30T00:54:54"/>
    <d v="1899-12-30T08:02:13"/>
    <d v="1899-12-30T16:13:28"/>
    <d v="1899-12-30T08:11:15"/>
    <d v="1899-12-30T07:12:00"/>
    <d v="1899-12-30T00:59:15"/>
    <m/>
    <n v="0.11175572519083972"/>
    <n v="1.1371527777777777"/>
  </r>
  <r>
    <x v="2"/>
    <x v="0"/>
    <x v="0"/>
    <x v="6"/>
    <x v="3"/>
    <d v="1899-12-30T00:48:12"/>
    <d v="1899-12-30T10:00:41"/>
    <d v="1899-12-30T18:06:35"/>
    <d v="1899-12-30T08:05:54"/>
    <d v="1899-12-30T07:12:00"/>
    <d v="1899-12-30T00:53:54"/>
    <m/>
    <n v="9.9197365713109706E-2"/>
    <n v="1.1247685185185183"/>
  </r>
  <r>
    <x v="2"/>
    <x v="0"/>
    <x v="0"/>
    <x v="7"/>
    <x v="0"/>
    <d v="1899-12-30T00:39:01"/>
    <d v="1899-12-30T08:00:34"/>
    <d v="1899-12-30T15:12:38"/>
    <d v="1899-12-30T07:12:04"/>
    <d v="1899-12-30T07:12:00"/>
    <d v="1899-12-30T00:00:04"/>
    <m/>
    <n v="9.0302422465668886E-2"/>
    <n v="1.0001543209876542"/>
  </r>
  <r>
    <x v="2"/>
    <x v="0"/>
    <x v="0"/>
    <x v="8"/>
    <x v="1"/>
    <d v="1899-12-30T01:08:47"/>
    <d v="1899-12-30T10:26:33"/>
    <d v="1899-12-30T18:00:29"/>
    <d v="1899-12-30T07:33:56"/>
    <d v="1899-12-30T07:12:00"/>
    <d v="1899-12-30T00:21:56"/>
    <m/>
    <n v="0.15152739021882805"/>
    <n v="1.0507716049382716"/>
  </r>
  <r>
    <x v="2"/>
    <x v="0"/>
    <x v="0"/>
    <x v="9"/>
    <x v="3"/>
    <d v="1899-12-30T01:11:06"/>
    <d v="1899-12-30T10:20:44"/>
    <d v="1899-12-30T18:00:18"/>
    <d v="1899-12-30T07:39:34"/>
    <d v="1899-12-30T07:12:00"/>
    <d v="1899-12-30T00:27:34"/>
    <m/>
    <n v="0.1547109595996228"/>
    <n v="1.0638117283950619"/>
  </r>
  <r>
    <x v="2"/>
    <x v="0"/>
    <x v="0"/>
    <x v="10"/>
    <x v="3"/>
    <d v="1899-12-30T01:18:08"/>
    <d v="1899-12-30T08:00:00"/>
    <d v="1899-12-30T15:42:41"/>
    <d v="1899-12-30T07:42:41"/>
    <d v="1899-12-30T07:12:00"/>
    <d v="1899-12-30T00:30:41"/>
    <m/>
    <n v="0.16886999747847697"/>
    <n v="1.0710262345679014"/>
  </r>
  <r>
    <x v="2"/>
    <x v="0"/>
    <x v="0"/>
    <x v="11"/>
    <x v="4"/>
    <d v="1899-12-30T00:39:47"/>
    <d v="1899-12-30T11:49:30"/>
    <d v="1899-12-30T18:01:12"/>
    <d v="1899-12-30T06:11:42"/>
    <d v="1899-12-30T07:12:00"/>
    <m/>
    <d v="1899-12-30T01:00:18"/>
    <n v="0.10703075957313246"/>
    <n v="0.86041666666666672"/>
  </r>
  <r>
    <x v="2"/>
    <x v="0"/>
    <x v="0"/>
    <x v="12"/>
    <x v="2"/>
    <d v="1899-12-30T01:06:49"/>
    <d v="1899-12-30T08:00:56"/>
    <d v="1899-12-30T15:12:38"/>
    <d v="1899-12-30T07:11:42"/>
    <d v="1899-12-30T07:12:00"/>
    <m/>
    <d v="1899-12-30T00:00:18"/>
    <n v="0.15477569299667981"/>
    <n v="0.99930555555555545"/>
  </r>
  <r>
    <x v="2"/>
    <x v="0"/>
    <x v="0"/>
    <x v="13"/>
    <x v="1"/>
    <d v="1899-12-30T01:04:30"/>
    <d v="1899-12-30T08:00:37"/>
    <d v="1899-12-30T16:12:41"/>
    <d v="1899-12-30T08:12:04"/>
    <d v="1899-12-30T07:12:00"/>
    <d v="1899-12-30T01:00:04"/>
    <m/>
    <n v="0.1310797994851646"/>
    <n v="1.1390432098765433"/>
  </r>
  <r>
    <x v="2"/>
    <x v="0"/>
    <x v="0"/>
    <x v="14"/>
    <x v="0"/>
    <d v="1899-12-30T01:01:15"/>
    <d v="1899-12-30T10:37:21"/>
    <d v="1899-12-30T18:00:24"/>
    <d v="1899-12-30T07:23:03"/>
    <d v="1899-12-30T07:12:00"/>
    <d v="1899-12-30T00:11:03"/>
    <m/>
    <n v="0.13824624760185081"/>
    <n v="1.0255787037037039"/>
  </r>
  <r>
    <x v="2"/>
    <x v="0"/>
    <x v="0"/>
    <x v="15"/>
    <x v="0"/>
    <d v="1899-12-30T01:12:25"/>
    <d v="1899-12-30T10:46:07"/>
    <d v="1899-12-30T18:00:23"/>
    <d v="1899-12-30T07:14:16"/>
    <d v="1899-12-30T07:12:00"/>
    <d v="1899-12-30T00:02:16"/>
    <m/>
    <n v="0.16675621737795518"/>
    <n v="1.0052469135802469"/>
  </r>
  <r>
    <x v="2"/>
    <x v="0"/>
    <x v="0"/>
    <x v="16"/>
    <x v="0"/>
    <d v="1899-12-30T01:20:45"/>
    <d v="1899-12-30T08:01:08"/>
    <d v="1899-12-30T15:14:00"/>
    <d v="1899-12-30T07:12:52"/>
    <d v="1899-12-30T07:12:00"/>
    <d v="1899-12-30T00:00:52"/>
    <m/>
    <n v="0.18654705066995228"/>
    <n v="1.0020061728395062"/>
  </r>
  <r>
    <x v="2"/>
    <x v="0"/>
    <x v="0"/>
    <x v="17"/>
    <x v="2"/>
    <d v="1899-12-30T00:00:00"/>
    <d v="1899-12-30T08:03:24"/>
    <d v="1899-12-30T15:26:42"/>
    <d v="1899-12-30T07:23:18"/>
    <d v="1899-12-30T07:12:00"/>
    <d v="1899-12-30T00:11:18"/>
    <m/>
    <n v="0"/>
    <n v="1.0261574074074074"/>
  </r>
  <r>
    <x v="2"/>
    <x v="0"/>
    <x v="0"/>
    <x v="18"/>
    <x v="2"/>
    <d v="1899-12-30T00:00:00"/>
    <d v="1899-12-30T08:29:33"/>
    <d v="1899-12-30T15:17:58"/>
    <d v="1899-12-30T06:48:25"/>
    <d v="1899-12-30T07:12:00"/>
    <m/>
    <d v="1899-12-30T00:23:35"/>
    <n v="0"/>
    <n v="0.94540895061728403"/>
  </r>
  <r>
    <x v="3"/>
    <x v="0"/>
    <x v="0"/>
    <x v="0"/>
    <x v="0"/>
    <d v="1899-12-30T00:58:01"/>
    <d v="1899-12-30T08:00:53"/>
    <d v="1899-12-30T15:12:40"/>
    <d v="1899-12-30T07:11:47"/>
    <d v="1899-12-30T07:12:00"/>
    <m/>
    <d v="1899-12-30T00:00:13"/>
    <n v="0.13436522947465937"/>
    <n v="0.9994984567901235"/>
  </r>
  <r>
    <x v="3"/>
    <x v="0"/>
    <x v="0"/>
    <x v="1"/>
    <x v="1"/>
    <d v="1899-12-30T00:56:25"/>
    <d v="1899-12-30T12:04:56"/>
    <d v="1899-12-30T18:01:55"/>
    <d v="1899-12-30T05:56:59"/>
    <d v="1899-12-30T06:00:00"/>
    <m/>
    <d v="1899-12-30T00:03:01"/>
    <n v="0.15803725664129983"/>
    <n v="0.9916203703703701"/>
  </r>
  <r>
    <x v="3"/>
    <x v="0"/>
    <x v="0"/>
    <x v="2"/>
    <x v="2"/>
    <d v="1899-12-30T00:00:00"/>
    <d v="1899-12-30T08:22:48"/>
    <d v="1899-12-30T15:53:42"/>
    <d v="1899-12-30T07:30:54"/>
    <d v="1899-12-30T07:12:00"/>
    <d v="1899-12-30T00:18:54"/>
    <m/>
    <n v="0"/>
    <n v="1.0437499999999997"/>
  </r>
  <r>
    <x v="3"/>
    <x v="0"/>
    <x v="0"/>
    <x v="3"/>
    <x v="1"/>
    <d v="1899-12-30T01:22:19"/>
    <d v="1899-12-30T08:03:33"/>
    <d v="1899-12-30T15:12:53"/>
    <d v="1899-12-30T07:09:20"/>
    <d v="1899-12-30T07:12:00"/>
    <m/>
    <d v="1899-12-30T00:02:40"/>
    <n v="0.19173136645962732"/>
    <n v="0.99382716049382724"/>
  </r>
  <r>
    <x v="3"/>
    <x v="0"/>
    <x v="0"/>
    <x v="4"/>
    <x v="3"/>
    <d v="1899-12-30T01:06:03"/>
    <d v="1899-12-30T08:02:54"/>
    <d v="1899-12-30T15:13:13"/>
    <d v="1899-12-30T07:10:19"/>
    <d v="1899-12-30T07:12:00"/>
    <m/>
    <d v="1899-12-30T00:01:41"/>
    <n v="0.15349161470235101"/>
    <n v="0.99610339506172818"/>
  </r>
  <r>
    <x v="3"/>
    <x v="0"/>
    <x v="0"/>
    <x v="5"/>
    <x v="1"/>
    <d v="1899-12-30T00:54:14"/>
    <d v="1899-12-30T08:03:53"/>
    <d v="1899-12-30T15:13:34"/>
    <d v="1899-12-30T07:09:41"/>
    <d v="1899-12-30T07:12:00"/>
    <m/>
    <d v="1899-12-30T00:02:19"/>
    <n v="0.1262169814980024"/>
    <n v="0.99463734567901241"/>
  </r>
  <r>
    <x v="3"/>
    <x v="0"/>
    <x v="0"/>
    <x v="6"/>
    <x v="3"/>
    <d v="1899-12-30T00:57:55"/>
    <d v="1899-12-30T09:49:13"/>
    <d v="1899-12-30T18:00:43"/>
    <d v="1899-12-30T08:11:30"/>
    <d v="1899-12-30T07:12:00"/>
    <d v="1899-12-30T00:59:30"/>
    <m/>
    <n v="0.11783655476432686"/>
    <n v="1.1377314814814818"/>
  </r>
  <r>
    <x v="3"/>
    <x v="0"/>
    <x v="0"/>
    <x v="7"/>
    <x v="0"/>
    <d v="1899-12-30T00:47:18"/>
    <d v="1899-12-30T08:00:34"/>
    <d v="1899-12-30T15:12:26"/>
    <d v="1899-12-30T07:11:52"/>
    <d v="1899-12-30T07:12:00"/>
    <m/>
    <d v="1899-12-30T00:00:08"/>
    <n v="0.10952454461253472"/>
    <n v="0.99969135802469156"/>
  </r>
  <r>
    <x v="3"/>
    <x v="0"/>
    <x v="0"/>
    <x v="8"/>
    <x v="1"/>
    <d v="1899-12-30T01:05:15"/>
    <d v="1899-12-30T10:42:19"/>
    <d v="1899-12-30T18:02:16"/>
    <d v="1899-12-30T07:19:57"/>
    <d v="1899-12-30T07:12:00"/>
    <d v="1899-12-30T00:07:57"/>
    <m/>
    <n v="0.14831230821684283"/>
    <n v="1.0184027777777778"/>
  </r>
  <r>
    <x v="3"/>
    <x v="0"/>
    <x v="0"/>
    <x v="9"/>
    <x v="3"/>
    <d v="1899-12-30T01:07:25"/>
    <d v="1899-12-30T10:49:19"/>
    <d v="1899-12-30T18:02:40"/>
    <d v="1899-12-30T07:13:21"/>
    <d v="1899-12-30T07:12:00"/>
    <d v="1899-12-30T00:01:21"/>
    <m/>
    <n v="0.15557093957924695"/>
    <n v="1.003125"/>
  </r>
  <r>
    <x v="3"/>
    <x v="0"/>
    <x v="0"/>
    <x v="10"/>
    <x v="3"/>
    <d v="1899-12-30T01:04:48"/>
    <d v="1899-12-30T08:01:40"/>
    <d v="1899-12-30T15:43:16"/>
    <d v="1899-12-30T07:41:36"/>
    <d v="1899-12-30T07:12:00"/>
    <d v="1899-12-30T00:29:36"/>
    <m/>
    <n v="0.14038128249566725"/>
    <n v="1.0685185185185184"/>
  </r>
  <r>
    <x v="3"/>
    <x v="0"/>
    <x v="0"/>
    <x v="11"/>
    <x v="4"/>
    <d v="1899-12-30T00:53:23"/>
    <d v="1899-12-30T08:00:03"/>
    <d v="1899-12-30T15:15:35"/>
    <d v="1899-12-30T07:15:32"/>
    <d v="1899-12-30T07:12:00"/>
    <d v="1899-12-30T00:03:32"/>
    <m/>
    <n v="0.12257002908311651"/>
    <n v="1.0081790123456789"/>
  </r>
  <r>
    <x v="3"/>
    <x v="0"/>
    <x v="0"/>
    <x v="12"/>
    <x v="2"/>
    <d v="1899-12-30T00:54:46"/>
    <d v="1899-12-30T08:02:32"/>
    <d v="1899-12-30T15:12:34"/>
    <d v="1899-12-30T07:10:02"/>
    <d v="1899-12-30T07:12:00"/>
    <m/>
    <d v="1899-12-30T00:01:58"/>
    <n v="0.12735446864584143"/>
    <n v="0.99544753086419746"/>
  </r>
  <r>
    <x v="3"/>
    <x v="0"/>
    <x v="0"/>
    <x v="13"/>
    <x v="1"/>
    <d v="1899-12-30T00:42:22"/>
    <d v="1899-12-30T08:01:05"/>
    <d v="1899-12-30T14:16:25"/>
    <d v="1899-12-30T06:15:20"/>
    <d v="1899-12-30T07:12:00"/>
    <m/>
    <d v="1899-12-30T00:56:40"/>
    <n v="0.11287744227353465"/>
    <n v="0.86882716049382713"/>
  </r>
  <r>
    <x v="3"/>
    <x v="0"/>
    <x v="0"/>
    <x v="14"/>
    <x v="0"/>
    <d v="1899-12-30T01:00:25"/>
    <d v="1899-12-30T10:51:49"/>
    <d v="1899-12-30T18:01:35"/>
    <d v="1899-12-30T07:09:46"/>
    <d v="1899-12-30T07:12:00"/>
    <m/>
    <d v="1899-12-30T00:02:14"/>
    <n v="0.14058015977662297"/>
    <n v="0.99483024691358024"/>
  </r>
  <r>
    <x v="3"/>
    <x v="0"/>
    <x v="0"/>
    <x v="15"/>
    <x v="0"/>
    <d v="1899-12-30T01:09:08"/>
    <d v="1899-12-30T10:43:02"/>
    <d v="1899-12-30T18:00:48"/>
    <d v="1899-12-30T07:17:46"/>
    <d v="1899-12-30T07:12:00"/>
    <d v="1899-12-30T00:05:46"/>
    <m/>
    <n v="0.15792278991852587"/>
    <n v="1.0133487654320987"/>
  </r>
  <r>
    <x v="3"/>
    <x v="0"/>
    <x v="0"/>
    <x v="16"/>
    <x v="0"/>
    <d v="1899-12-30T01:01:17"/>
    <d v="1899-12-30T08:00:42"/>
    <d v="1899-12-30T15:13:00"/>
    <d v="1899-12-30T07:12:18"/>
    <d v="1899-12-30T07:12:00"/>
    <d v="1899-12-30T00:00:18"/>
    <m/>
    <n v="0.14176112267715324"/>
    <n v="1.0006944444444443"/>
  </r>
  <r>
    <x v="3"/>
    <x v="0"/>
    <x v="0"/>
    <x v="17"/>
    <x v="2"/>
    <d v="1899-12-30T00:00:00"/>
    <d v="1899-12-30T08:13:43"/>
    <d v="1899-12-30T15:35:25"/>
    <d v="1899-12-30T07:21:42"/>
    <d v="1899-12-30T07:12:00"/>
    <d v="1899-12-30T00:09:42"/>
    <m/>
    <n v="0"/>
    <n v="1.0224537037037038"/>
  </r>
  <r>
    <x v="3"/>
    <x v="0"/>
    <x v="0"/>
    <x v="18"/>
    <x v="2"/>
    <d v="1899-12-30T00:00:00"/>
    <d v="1899-12-30T08:05:00"/>
    <d v="1899-12-30T15:10:34"/>
    <d v="1899-12-30T07:05:34"/>
    <d v="1899-12-30T07:12:00"/>
    <m/>
    <d v="1899-12-30T00:06:26"/>
    <n v="0"/>
    <n v="0.98510802469135794"/>
  </r>
  <r>
    <x v="4"/>
    <x v="0"/>
    <x v="0"/>
    <x v="0"/>
    <x v="0"/>
    <d v="1899-12-30T01:04:59"/>
    <d v="1899-12-30T08:00:40"/>
    <d v="1899-12-30T15:12:56"/>
    <d v="1899-12-30T07:12:16"/>
    <d v="1899-12-30T07:12:00"/>
    <d v="1899-12-30T00:00:16"/>
    <m/>
    <n v="0.15033158544108577"/>
    <n v="1.0006172839506173"/>
  </r>
  <r>
    <x v="4"/>
    <x v="0"/>
    <x v="0"/>
    <x v="2"/>
    <x v="2"/>
    <d v="1899-12-30T00:00:00"/>
    <d v="1899-12-30T08:12:59"/>
    <d v="1899-12-30T16:12:40"/>
    <d v="1899-12-30T07:59:41"/>
    <d v="1899-12-30T07:12:00"/>
    <d v="1899-12-30T00:47:41"/>
    <m/>
    <n v="0"/>
    <n v="1.110378086419753"/>
  </r>
  <r>
    <x v="4"/>
    <x v="0"/>
    <x v="0"/>
    <x v="3"/>
    <x v="1"/>
    <d v="1899-12-30T01:18:52"/>
    <d v="1899-12-30T08:02:04"/>
    <d v="1899-12-30T15:13:01"/>
    <d v="1899-12-30T07:10:57"/>
    <d v="1899-12-30T07:12:00"/>
    <m/>
    <d v="1899-12-30T00:01:03"/>
    <n v="0.18300653594771241"/>
    <n v="0.99756944444444462"/>
  </r>
  <r>
    <x v="4"/>
    <x v="0"/>
    <x v="0"/>
    <x v="4"/>
    <x v="3"/>
    <d v="1899-12-30T01:02:41"/>
    <d v="1899-12-30T08:01:17"/>
    <d v="1899-12-30T15:12:37"/>
    <d v="1899-12-30T07:11:20"/>
    <d v="1899-12-30T07:12:00"/>
    <m/>
    <d v="1899-12-30T00:00:40"/>
    <n v="0.14532457496136011"/>
    <n v="0.99845679012345689"/>
  </r>
  <r>
    <x v="4"/>
    <x v="0"/>
    <x v="0"/>
    <x v="5"/>
    <x v="1"/>
    <d v="1899-12-30T00:58:05"/>
    <d v="1899-12-30T08:01:24"/>
    <d v="1899-12-30T15:15:48"/>
    <d v="1899-12-30T07:14:24"/>
    <d v="1899-12-30T07:12:00"/>
    <d v="1899-12-30T00:02:24"/>
    <m/>
    <n v="0.13370933087783915"/>
    <n v="1.0055555555555558"/>
  </r>
  <r>
    <x v="4"/>
    <x v="0"/>
    <x v="0"/>
    <x v="6"/>
    <x v="3"/>
    <d v="1899-12-30T00:58:07"/>
    <d v="1899-12-30T09:59:55"/>
    <d v="1899-12-30T18:00:19"/>
    <d v="1899-12-30T08:00:24"/>
    <d v="1899-12-30T07:12:00"/>
    <d v="1899-12-30T00:48:24"/>
    <m/>
    <n v="0.12097557590896474"/>
    <n v="1.1120370370370372"/>
  </r>
  <r>
    <x v="4"/>
    <x v="0"/>
    <x v="0"/>
    <x v="7"/>
    <x v="0"/>
    <d v="1899-12-30T01:00:04"/>
    <d v="1899-12-30T08:00:34"/>
    <d v="1899-12-30T15:13:19"/>
    <d v="1899-12-30T07:12:45"/>
    <d v="1899-12-30T07:12:00"/>
    <d v="1899-12-30T00:00:45"/>
    <m/>
    <n v="0.13880223377623727"/>
    <n v="1.0017361111111109"/>
  </r>
  <r>
    <x v="4"/>
    <x v="0"/>
    <x v="0"/>
    <x v="8"/>
    <x v="1"/>
    <d v="1899-12-30T01:15:10"/>
    <d v="1899-12-30T09:37:13"/>
    <d v="1899-12-30T17:02:48"/>
    <d v="1899-12-30T07:25:35"/>
    <d v="1899-12-30T07:12:00"/>
    <d v="1899-12-30T00:13:35"/>
    <m/>
    <n v="0.16869272489246306"/>
    <n v="1.0314429012345681"/>
  </r>
  <r>
    <x v="4"/>
    <x v="0"/>
    <x v="0"/>
    <x v="9"/>
    <x v="3"/>
    <d v="1899-12-30T00:57:56"/>
    <d v="1899-12-30T10:10:25"/>
    <d v="1899-12-30T18:00:28"/>
    <d v="1899-12-30T07:50:03"/>
    <d v="1899-12-30T07:12:00"/>
    <d v="1899-12-30T00:38:03"/>
    <m/>
    <n v="0.12324929971988795"/>
    <n v="1.0880787037037039"/>
  </r>
  <r>
    <x v="4"/>
    <x v="0"/>
    <x v="0"/>
    <x v="10"/>
    <x v="3"/>
    <d v="1899-12-30T00:56:44"/>
    <d v="1899-12-30T08:00:00"/>
    <d v="1899-12-30T14:31:24"/>
    <d v="1899-12-30T06:31:24"/>
    <d v="1899-12-30T07:12:00"/>
    <m/>
    <d v="1899-12-30T00:40:36"/>
    <n v="0.14494975302333502"/>
    <n v="0.90601851851851867"/>
  </r>
  <r>
    <x v="4"/>
    <x v="0"/>
    <x v="0"/>
    <x v="11"/>
    <x v="4"/>
    <d v="1899-12-30T00:47:41"/>
    <d v="1899-12-30T08:00:01"/>
    <d v="1899-12-30T15:14:52"/>
    <d v="1899-12-30T07:14:51"/>
    <d v="1899-12-30T07:12:00"/>
    <d v="1899-12-30T00:02:51"/>
    <m/>
    <n v="0.10965467019278678"/>
    <n v="1.0065972222222224"/>
  </r>
  <r>
    <x v="4"/>
    <x v="0"/>
    <x v="0"/>
    <x v="12"/>
    <x v="2"/>
    <d v="1899-12-30T01:00:30"/>
    <d v="1899-12-30T08:00:41"/>
    <d v="1899-12-30T15:12:41"/>
    <d v="1899-12-30T07:12:00"/>
    <d v="1899-12-30T07:12:00"/>
    <d v="1899-12-30T00:00:00"/>
    <d v="1899-12-30T00:00:00"/>
    <n v="0.14004629629629631"/>
    <n v="1"/>
  </r>
  <r>
    <x v="4"/>
    <x v="0"/>
    <x v="0"/>
    <x v="13"/>
    <x v="1"/>
    <d v="1899-12-30T00:51:29"/>
    <d v="1899-12-30T08:00:59"/>
    <d v="1899-12-30T15:15:19"/>
    <d v="1899-12-30T07:14:20"/>
    <d v="1899-12-30T07:12:00"/>
    <d v="1899-12-30T00:02:20"/>
    <m/>
    <n v="0.11853415195702227"/>
    <n v="1.0054012345679011"/>
  </r>
  <r>
    <x v="4"/>
    <x v="0"/>
    <x v="0"/>
    <x v="14"/>
    <x v="0"/>
    <d v="1899-12-30T01:09:57"/>
    <d v="1899-12-30T10:46:58"/>
    <d v="1899-12-30T18:00:34"/>
    <d v="1899-12-30T07:13:36"/>
    <d v="1899-12-30T07:12:00"/>
    <d v="1899-12-30T00:01:36"/>
    <m/>
    <n v="0.16132380073800737"/>
    <n v="1.003703703703704"/>
  </r>
  <r>
    <x v="4"/>
    <x v="0"/>
    <x v="0"/>
    <x v="16"/>
    <x v="0"/>
    <d v="1899-12-30T01:01:44"/>
    <d v="1899-12-30T08:00:41"/>
    <d v="1899-12-30T15:13:50"/>
    <d v="1899-12-30T07:13:09"/>
    <d v="1899-12-30T07:12:00"/>
    <d v="1899-12-30T00:01:09"/>
    <m/>
    <n v="0.14252183616145292"/>
    <n v="1.0026620370370372"/>
  </r>
  <r>
    <x v="4"/>
    <x v="0"/>
    <x v="0"/>
    <x v="17"/>
    <x v="2"/>
    <d v="1899-12-30T00:00:00"/>
    <d v="1899-12-30T08:18:43"/>
    <d v="1899-12-30T15:50:31"/>
    <d v="1899-12-30T07:31:48"/>
    <d v="1899-12-30T07:12:00"/>
    <d v="1899-12-30T00:19:48"/>
    <m/>
    <n v="0"/>
    <n v="1.0458333333333334"/>
  </r>
  <r>
    <x v="5"/>
    <x v="0"/>
    <x v="0"/>
    <x v="0"/>
    <x v="0"/>
    <d v="1899-12-30T00:53:47"/>
    <d v="1899-12-30T08:01:24"/>
    <d v="1899-12-30T15:14:04"/>
    <d v="1899-12-30T07:12:40"/>
    <d v="1899-12-30T07:12:00"/>
    <d v="1899-12-30T00:00:40"/>
    <m/>
    <n v="0.124306625577812"/>
    <n v="1.0015432098765433"/>
  </r>
  <r>
    <x v="5"/>
    <x v="0"/>
    <x v="0"/>
    <x v="1"/>
    <x v="1"/>
    <d v="1899-12-30T00:55:52"/>
    <d v="1899-12-30T12:36:37"/>
    <d v="1899-12-30T18:00:39"/>
    <d v="1899-12-30T05:24:02"/>
    <d v="1899-12-30T06:00:00"/>
    <m/>
    <d v="1899-12-30T00:35:58"/>
    <n v="0.17241024585947953"/>
    <n v="0.90009259259259222"/>
  </r>
  <r>
    <x v="5"/>
    <x v="0"/>
    <x v="0"/>
    <x v="2"/>
    <x v="2"/>
    <d v="1899-12-30T00:00:00"/>
    <d v="1899-12-30T08:06:56"/>
    <d v="1899-12-30T15:46:48"/>
    <d v="1899-12-30T07:39:52"/>
    <d v="1899-12-30T07:12:00"/>
    <d v="1899-12-30T00:27:52"/>
    <m/>
    <n v="0"/>
    <n v="1.0645061728395062"/>
  </r>
  <r>
    <x v="5"/>
    <x v="0"/>
    <x v="0"/>
    <x v="3"/>
    <x v="1"/>
    <d v="1899-12-30T01:08:45"/>
    <d v="1899-12-30T08:04:02"/>
    <d v="1899-12-30T16:02:32"/>
    <d v="1899-12-30T07:58:30"/>
    <d v="1899-12-30T07:12:00"/>
    <d v="1899-12-30T00:46:30"/>
    <m/>
    <n v="0.14367816091954019"/>
    <n v="1.1076388888888891"/>
  </r>
  <r>
    <x v="5"/>
    <x v="0"/>
    <x v="0"/>
    <x v="4"/>
    <x v="3"/>
    <d v="1899-12-30T01:06:21"/>
    <d v="1899-12-30T08:04:09"/>
    <d v="1899-12-30T15:12:52"/>
    <d v="1899-12-30T07:08:43"/>
    <d v="1899-12-30T07:12:00"/>
    <m/>
    <d v="1899-12-30T00:03:17"/>
    <n v="0.15476421879252028"/>
    <n v="0.99239969135802486"/>
  </r>
  <r>
    <x v="5"/>
    <x v="0"/>
    <x v="0"/>
    <x v="5"/>
    <x v="1"/>
    <d v="1899-12-30T00:45:17"/>
    <d v="1899-12-30T09:24:33"/>
    <d v="1899-12-30T15:42:22"/>
    <d v="1899-12-30T06:17:49"/>
    <d v="1899-12-30T07:12:00"/>
    <m/>
    <d v="1899-12-30T00:54:11"/>
    <n v="0.11985530901230755"/>
    <n v="0.87457561728395072"/>
  </r>
  <r>
    <x v="5"/>
    <x v="0"/>
    <x v="0"/>
    <x v="6"/>
    <x v="3"/>
    <d v="1899-12-30T00:49:45"/>
    <d v="1899-12-30T10:41:06"/>
    <d v="1899-12-30T18:01:45"/>
    <d v="1899-12-30T07:20:39"/>
    <d v="1899-12-30T07:12:00"/>
    <d v="1899-12-30T00:08:39"/>
    <m/>
    <n v="0.11290139566549418"/>
    <n v="1.0200231481481481"/>
  </r>
  <r>
    <x v="5"/>
    <x v="0"/>
    <x v="0"/>
    <x v="7"/>
    <x v="0"/>
    <d v="1899-12-30T00:50:46"/>
    <d v="1899-12-30T08:00:34"/>
    <d v="1899-12-30T15:13:11"/>
    <d v="1899-12-30T07:12:37"/>
    <d v="1899-12-30T07:12:00"/>
    <d v="1899-12-30T00:00:37"/>
    <m/>
    <n v="0.11734792156258426"/>
    <n v="1.0014274691358025"/>
  </r>
  <r>
    <x v="5"/>
    <x v="0"/>
    <x v="0"/>
    <x v="8"/>
    <x v="1"/>
    <d v="1899-12-30T01:34:26"/>
    <d v="1899-12-30T11:12:36"/>
    <d v="1899-12-30T18:01:30"/>
    <d v="1899-12-30T06:48:54"/>
    <d v="1899-12-30T07:12:00"/>
    <m/>
    <d v="1899-12-30T00:23:06"/>
    <n v="0.2309448112823021"/>
    <n v="0.94652777777777797"/>
  </r>
  <r>
    <x v="5"/>
    <x v="0"/>
    <x v="0"/>
    <x v="9"/>
    <x v="3"/>
    <d v="1899-12-30T01:05:06"/>
    <d v="1899-12-30T10:44:26"/>
    <d v="1899-12-30T18:00:24"/>
    <d v="1899-12-30T07:15:58"/>
    <d v="1899-12-30T07:12:00"/>
    <d v="1899-12-30T00:03:58"/>
    <m/>
    <n v="0.14932334276320819"/>
    <n v="1.0091820987654323"/>
  </r>
  <r>
    <x v="5"/>
    <x v="0"/>
    <x v="0"/>
    <x v="10"/>
    <x v="3"/>
    <d v="1899-12-30T01:11:34"/>
    <d v="1899-12-30T08:01:18"/>
    <d v="1899-12-30T15:42:10"/>
    <d v="1899-12-30T07:40:52"/>
    <d v="1899-12-30T07:12:00"/>
    <d v="1899-12-30T00:28:52"/>
    <m/>
    <n v="0.15528714017069292"/>
    <n v="1.0668209876543209"/>
  </r>
  <r>
    <x v="5"/>
    <x v="0"/>
    <x v="0"/>
    <x v="11"/>
    <x v="4"/>
    <d v="1899-12-30T00:48:17"/>
    <d v="1899-12-30T08:00:06"/>
    <d v="1899-12-30T16:18:15"/>
    <d v="1899-12-30T08:18:09"/>
    <d v="1899-12-30T07:12:00"/>
    <d v="1899-12-30T01:06:09"/>
    <m/>
    <n v="9.6925290240556738E-2"/>
    <n v="1.153125"/>
  </r>
  <r>
    <x v="5"/>
    <x v="0"/>
    <x v="0"/>
    <x v="12"/>
    <x v="2"/>
    <d v="1899-12-30T01:03:06"/>
    <d v="1899-12-30T08:00:31"/>
    <d v="1899-12-30T15:13:24"/>
    <d v="1899-12-30T07:12:53"/>
    <d v="1899-12-30T07:12:00"/>
    <d v="1899-12-30T00:00:53"/>
    <m/>
    <n v="0.14576675778693257"/>
    <n v="1.0020447530864198"/>
  </r>
  <r>
    <x v="5"/>
    <x v="0"/>
    <x v="0"/>
    <x v="13"/>
    <x v="1"/>
    <d v="1899-12-30T00:56:55"/>
    <d v="1899-12-30T08:00:24"/>
    <d v="1899-12-30T15:13:18"/>
    <d v="1899-12-30T07:12:54"/>
    <d v="1899-12-30T07:12:00"/>
    <d v="1899-12-30T00:00:54"/>
    <m/>
    <n v="0.1314776314776315"/>
    <n v="1.0020833333333332"/>
  </r>
  <r>
    <x v="5"/>
    <x v="0"/>
    <x v="0"/>
    <x v="14"/>
    <x v="0"/>
    <d v="1899-12-30T00:55:57"/>
    <d v="1899-12-30T10:49:54"/>
    <d v="1899-12-30T18:00:15"/>
    <d v="1899-12-30T07:10:21"/>
    <d v="1899-12-30T07:12:00"/>
    <m/>
    <d v="1899-12-30T00:01:39"/>
    <n v="0.13001045660508886"/>
    <n v="0.99618055555555574"/>
  </r>
  <r>
    <x v="5"/>
    <x v="0"/>
    <x v="0"/>
    <x v="15"/>
    <x v="0"/>
    <d v="1899-12-30T00:59:38"/>
    <d v="1899-12-30T09:52:33"/>
    <d v="1899-12-30T18:01:20"/>
    <d v="1899-12-30T08:08:47"/>
    <d v="1899-12-30T07:12:00"/>
    <d v="1899-12-30T00:56:47"/>
    <m/>
    <n v="0.12200361441674909"/>
    <n v="1.1314429012345679"/>
  </r>
  <r>
    <x v="5"/>
    <x v="0"/>
    <x v="0"/>
    <x v="16"/>
    <x v="0"/>
    <d v="1899-12-30T01:12:31"/>
    <d v="1899-12-30T08:00:10"/>
    <d v="1899-12-30T16:04:32"/>
    <d v="1899-12-30T08:04:22"/>
    <d v="1899-12-30T07:12:00"/>
    <d v="1899-12-30T00:52:22"/>
    <m/>
    <n v="0.14971440368866559"/>
    <n v="1.1212191358024692"/>
  </r>
  <r>
    <x v="5"/>
    <x v="0"/>
    <x v="0"/>
    <x v="17"/>
    <x v="2"/>
    <d v="1899-12-30T00:00:00"/>
    <d v="1899-12-30T08:19:52"/>
    <d v="1899-12-30T15:40:21"/>
    <d v="1899-12-30T07:20:29"/>
    <d v="1899-12-30T07:12:00"/>
    <d v="1899-12-30T00:08:29"/>
    <m/>
    <n v="0"/>
    <n v="1.0196373456790127"/>
  </r>
  <r>
    <x v="5"/>
    <x v="0"/>
    <x v="0"/>
    <x v="18"/>
    <x v="2"/>
    <d v="1899-12-30T00:00:00"/>
    <d v="1899-12-30T08:06:44"/>
    <d v="1899-12-30T15:18:35"/>
    <d v="1899-12-30T07:11:51"/>
    <d v="1899-12-30T07:12:00"/>
    <m/>
    <d v="1899-12-30T00:00:09"/>
    <n v="0"/>
    <n v="0.99965277777777772"/>
  </r>
  <r>
    <x v="6"/>
    <x v="0"/>
    <x v="0"/>
    <x v="0"/>
    <x v="0"/>
    <d v="1899-12-30T01:15:41"/>
    <d v="1899-12-30T08:01:59"/>
    <d v="1899-12-30T15:14:13"/>
    <d v="1899-12-30T07:12:14"/>
    <d v="1899-12-30T07:12:00"/>
    <d v="1899-12-30T00:00:14"/>
    <m/>
    <n v="0.17509832652116916"/>
    <n v="1.0005401234567899"/>
  </r>
  <r>
    <x v="6"/>
    <x v="0"/>
    <x v="0"/>
    <x v="1"/>
    <x v="1"/>
    <d v="1899-12-30T01:04:18"/>
    <d v="1899-12-30T12:04:30"/>
    <d v="1899-12-30T18:00:19"/>
    <d v="1899-12-30T05:55:49"/>
    <d v="1899-12-30T06:00:00"/>
    <m/>
    <d v="1899-12-30T00:04:11"/>
    <n v="0.18071104032975788"/>
    <n v="0.98837962962962944"/>
  </r>
  <r>
    <x v="6"/>
    <x v="0"/>
    <x v="0"/>
    <x v="2"/>
    <x v="2"/>
    <d v="1899-12-30T00:00:00"/>
    <d v="1899-12-30T09:15:13"/>
    <d v="1899-12-30T15:21:37"/>
    <d v="1899-12-30T06:06:24"/>
    <d v="1899-12-30T07:12:00"/>
    <m/>
    <d v="1899-12-30T01:05:36"/>
    <n v="0"/>
    <n v="0.8481481481481481"/>
  </r>
  <r>
    <x v="6"/>
    <x v="0"/>
    <x v="0"/>
    <x v="3"/>
    <x v="1"/>
    <d v="1899-12-30T01:21:17"/>
    <d v="1899-12-30T08:01:45"/>
    <d v="1899-12-30T16:00:13"/>
    <d v="1899-12-30T07:58:28"/>
    <d v="1899-12-30T07:12:00"/>
    <d v="1899-12-30T00:46:28"/>
    <m/>
    <n v="0.16988295945381082"/>
    <n v="1.1075617283950616"/>
  </r>
  <r>
    <x v="6"/>
    <x v="0"/>
    <x v="0"/>
    <x v="4"/>
    <x v="3"/>
    <d v="1899-12-30T01:24:43"/>
    <d v="1899-12-30T08:02:23"/>
    <d v="1899-12-30T15:13:25"/>
    <d v="1899-12-30T07:11:02"/>
    <d v="1899-12-30T07:12:00"/>
    <m/>
    <d v="1899-12-30T00:00:58"/>
    <n v="0.1965431907818421"/>
    <n v="0.99776234567901234"/>
  </r>
  <r>
    <x v="6"/>
    <x v="0"/>
    <x v="0"/>
    <x v="5"/>
    <x v="1"/>
    <d v="1899-12-30T01:11:39"/>
    <d v="1899-12-30T08:20:56"/>
    <d v="1899-12-30T15:13:37"/>
    <d v="1899-12-30T06:52:41"/>
    <d v="1899-12-30T07:12:00"/>
    <m/>
    <d v="1899-12-30T00:19:19"/>
    <n v="0.17361980533904126"/>
    <n v="0.95528549382716044"/>
  </r>
  <r>
    <x v="6"/>
    <x v="0"/>
    <x v="0"/>
    <x v="6"/>
    <x v="3"/>
    <d v="1899-12-30T00:52:24"/>
    <d v="1899-12-30T10:03:44"/>
    <d v="1899-12-30T18:01:17"/>
    <d v="1899-12-30T07:57:33"/>
    <d v="1899-12-30T07:12:00"/>
    <d v="1899-12-30T00:45:33"/>
    <m/>
    <n v="0.10972673018532092"/>
    <n v="1.1054398148148146"/>
  </r>
  <r>
    <x v="6"/>
    <x v="0"/>
    <x v="0"/>
    <x v="7"/>
    <x v="0"/>
    <d v="1899-12-30T01:05:21"/>
    <d v="1899-12-30T08:00:34"/>
    <d v="1899-12-30T15:12:30"/>
    <d v="1899-12-30T07:11:56"/>
    <d v="1899-12-30T07:12:00"/>
    <m/>
    <d v="1899-12-30T00:00:04"/>
    <n v="0.15129649637289705"/>
    <n v="0.99984567901234578"/>
  </r>
  <r>
    <x v="6"/>
    <x v="0"/>
    <x v="0"/>
    <x v="8"/>
    <x v="1"/>
    <d v="1899-12-30T01:01:11"/>
    <d v="1899-12-30T10:42:24"/>
    <d v="1899-12-30T18:01:01"/>
    <d v="1899-12-30T07:18:37"/>
    <d v="1899-12-30T07:12:00"/>
    <d v="1899-12-30T00:06:37"/>
    <m/>
    <n v="0.13949158338716419"/>
    <n v="1.0153163580246913"/>
  </r>
  <r>
    <x v="6"/>
    <x v="0"/>
    <x v="0"/>
    <x v="9"/>
    <x v="3"/>
    <d v="1899-12-30T01:05:26"/>
    <d v="1899-12-30T10:13:13"/>
    <d v="1899-12-30T18:00:16"/>
    <d v="1899-12-30T07:47:03"/>
    <d v="1899-12-30T07:12:00"/>
    <d v="1899-12-30T00:35:03"/>
    <m/>
    <n v="0.1400992042251008"/>
    <n v="1.0811342592592594"/>
  </r>
  <r>
    <x v="6"/>
    <x v="0"/>
    <x v="0"/>
    <x v="10"/>
    <x v="3"/>
    <d v="1899-12-30T01:24:49"/>
    <d v="1899-12-30T08:00:00"/>
    <d v="1899-12-30T15:42:24"/>
    <d v="1899-12-30T07:42:24"/>
    <d v="1899-12-30T07:12:00"/>
    <d v="1899-12-30T00:30:24"/>
    <m/>
    <n v="0.18342704728950399"/>
    <n v="1.0703703703703706"/>
  </r>
  <r>
    <x v="6"/>
    <x v="0"/>
    <x v="0"/>
    <x v="11"/>
    <x v="4"/>
    <d v="1899-12-30T01:05:06"/>
    <d v="1899-12-30T08:00:09"/>
    <d v="1899-12-30T15:15:06"/>
    <d v="1899-12-30T07:14:57"/>
    <d v="1899-12-30T07:12:00"/>
    <d v="1899-12-30T00:02:57"/>
    <m/>
    <n v="0.14967237613518797"/>
    <n v="1.0068287037037036"/>
  </r>
  <r>
    <x v="6"/>
    <x v="0"/>
    <x v="0"/>
    <x v="12"/>
    <x v="2"/>
    <d v="1899-12-30T01:15:01"/>
    <d v="1899-12-30T08:11:42"/>
    <d v="1899-12-30T15:27:26"/>
    <d v="1899-12-30T07:15:44"/>
    <d v="1899-12-30T07:12:00"/>
    <d v="1899-12-30T00:03:44"/>
    <m/>
    <n v="0.17216187270501834"/>
    <n v="1.0086419753086422"/>
  </r>
  <r>
    <x v="6"/>
    <x v="0"/>
    <x v="0"/>
    <x v="13"/>
    <x v="1"/>
    <d v="1899-12-30T01:04:42"/>
    <d v="1899-12-30T08:01:47"/>
    <d v="1899-12-30T15:16:16"/>
    <d v="1899-12-30T07:14:29"/>
    <d v="1899-12-30T07:12:00"/>
    <d v="1899-12-30T00:02:29"/>
    <m/>
    <n v="0.14891250143849019"/>
    <n v="1.0057484567901234"/>
  </r>
  <r>
    <x v="6"/>
    <x v="0"/>
    <x v="0"/>
    <x v="14"/>
    <x v="0"/>
    <d v="1899-12-30T01:02:58"/>
    <d v="1899-12-30T10:46:14"/>
    <d v="1899-12-30T18:02:30"/>
    <d v="1899-12-30T07:16:16"/>
    <d v="1899-12-30T07:12:00"/>
    <d v="1899-12-30T00:04:16"/>
    <m/>
    <n v="0.144330684596577"/>
    <n v="1.0098765432098766"/>
  </r>
  <r>
    <x v="6"/>
    <x v="0"/>
    <x v="0"/>
    <x v="15"/>
    <x v="0"/>
    <d v="1899-12-30T01:06:08"/>
    <d v="1899-12-30T10:29:05"/>
    <d v="1899-12-30T18:02:04"/>
    <d v="1899-12-30T07:32:59"/>
    <d v="1899-12-30T07:12:00"/>
    <d v="1899-12-30T00:20:59"/>
    <m/>
    <n v="0.14599506972294787"/>
    <n v="1.0485725308641975"/>
  </r>
  <r>
    <x v="6"/>
    <x v="0"/>
    <x v="0"/>
    <x v="17"/>
    <x v="2"/>
    <d v="1899-12-30T00:00:00"/>
    <d v="1899-12-30T08:15:53"/>
    <d v="1899-12-30T15:28:41"/>
    <d v="1899-12-30T07:12:48"/>
    <d v="1899-12-30T07:12:00"/>
    <d v="1899-12-30T00:00:48"/>
    <m/>
    <n v="0"/>
    <n v="1.001851851851852"/>
  </r>
  <r>
    <x v="6"/>
    <x v="0"/>
    <x v="0"/>
    <x v="18"/>
    <x v="2"/>
    <d v="1899-12-30T00:00:00"/>
    <d v="1899-12-30T08:13:24"/>
    <d v="1899-12-30T15:18:17"/>
    <d v="1899-12-30T07:04:53"/>
    <d v="1899-12-30T07:12:00"/>
    <m/>
    <d v="1899-12-30T00:07:07"/>
    <n v="0"/>
    <n v="0.98352623456790134"/>
  </r>
  <r>
    <x v="7"/>
    <x v="0"/>
    <x v="0"/>
    <x v="0"/>
    <x v="0"/>
    <d v="1899-12-30T01:04:28"/>
    <d v="1899-12-30T08:04:28"/>
    <d v="1899-12-30T16:13:22"/>
    <d v="1899-12-30T08:08:54"/>
    <d v="1899-12-30T07:12:00"/>
    <d v="1899-12-30T00:56:54"/>
    <m/>
    <n v="0.13186063953091973"/>
    <n v="1.1317129629629632"/>
  </r>
  <r>
    <x v="7"/>
    <x v="0"/>
    <x v="0"/>
    <x v="1"/>
    <x v="1"/>
    <d v="1899-12-30T00:49:01"/>
    <d v="1899-12-30T12:16:42"/>
    <d v="1899-12-30T18:00:37"/>
    <d v="1899-12-30T05:43:55"/>
    <d v="1899-12-30T06:00:00"/>
    <m/>
    <d v="1899-12-30T00:16:05"/>
    <n v="0.14252483644293676"/>
    <n v="0.95532407407407405"/>
  </r>
  <r>
    <x v="7"/>
    <x v="0"/>
    <x v="0"/>
    <x v="2"/>
    <x v="2"/>
    <d v="1899-12-30T00:00:00"/>
    <d v="1899-12-30T08:09:29"/>
    <d v="1899-12-30T15:29:52"/>
    <d v="1899-12-30T07:20:23"/>
    <d v="1899-12-30T07:12:00"/>
    <d v="1899-12-30T00:08:23"/>
    <m/>
    <n v="0"/>
    <n v="1.019405864197531"/>
  </r>
  <r>
    <x v="7"/>
    <x v="0"/>
    <x v="0"/>
    <x v="3"/>
    <x v="1"/>
    <d v="1899-12-30T01:08:03"/>
    <d v="1899-12-30T08:12:19"/>
    <d v="1899-12-30T16:01:02"/>
    <d v="1899-12-30T07:48:43"/>
    <d v="1899-12-30T07:12:00"/>
    <d v="1899-12-30T00:36:43"/>
    <m/>
    <n v="0.14518365750453366"/>
    <n v="1.0849922839506174"/>
  </r>
  <r>
    <x v="7"/>
    <x v="0"/>
    <x v="0"/>
    <x v="4"/>
    <x v="3"/>
    <d v="1899-12-30T01:17:34"/>
    <d v="1899-12-30T08:03:39"/>
    <d v="1899-12-30T16:12:18"/>
    <d v="1899-12-30T08:08:39"/>
    <d v="1899-12-30T07:12:00"/>
    <d v="1899-12-30T00:56:39"/>
    <m/>
    <n v="0.15873665541116683"/>
    <n v="1.1311342592592593"/>
  </r>
  <r>
    <x v="7"/>
    <x v="0"/>
    <x v="0"/>
    <x v="5"/>
    <x v="1"/>
    <d v="1899-12-30T01:00:40"/>
    <d v="1899-12-30T08:02:22"/>
    <d v="1899-12-30T16:13:07"/>
    <d v="1899-12-30T08:10:45"/>
    <d v="1899-12-30T07:12:00"/>
    <d v="1899-12-30T00:58:45"/>
    <m/>
    <n v="0.12362030905077261"/>
    <n v="1.1359953703703705"/>
  </r>
  <r>
    <x v="7"/>
    <x v="0"/>
    <x v="0"/>
    <x v="6"/>
    <x v="3"/>
    <d v="1899-12-30T00:52:00"/>
    <d v="1899-12-30T10:11:41"/>
    <d v="1899-12-30T18:00:38"/>
    <d v="1899-12-30T07:48:57"/>
    <d v="1899-12-30T07:12:00"/>
    <d v="1899-12-30T00:36:57"/>
    <m/>
    <n v="0.11088602196396204"/>
    <n v="1.0855324074074075"/>
  </r>
  <r>
    <x v="7"/>
    <x v="0"/>
    <x v="0"/>
    <x v="7"/>
    <x v="0"/>
    <d v="1899-12-30T00:46:32"/>
    <d v="1899-12-30T08:00:34"/>
    <d v="1899-12-30T15:13:30"/>
    <d v="1899-12-30T07:12:56"/>
    <d v="1899-12-30T07:12:00"/>
    <d v="1899-12-30T00:00:56"/>
    <m/>
    <n v="0.10748383122882661"/>
    <n v="1.0021604938271607"/>
  </r>
  <r>
    <x v="7"/>
    <x v="0"/>
    <x v="0"/>
    <x v="8"/>
    <x v="1"/>
    <d v="1899-12-30T01:14:19"/>
    <d v="1899-12-30T10:41:29"/>
    <d v="1899-12-30T18:00:20"/>
    <d v="1899-12-30T07:18:51"/>
    <d v="1899-12-30T07:12:00"/>
    <d v="1899-12-30T00:06:51"/>
    <m/>
    <n v="0.16934411909916072"/>
    <n v="1.0158564814814814"/>
  </r>
  <r>
    <x v="7"/>
    <x v="0"/>
    <x v="0"/>
    <x v="9"/>
    <x v="3"/>
    <d v="1899-12-30T00:59:40"/>
    <d v="1899-12-30T11:16:47"/>
    <d v="1899-12-30T18:00:20"/>
    <d v="1899-12-30T06:43:33"/>
    <d v="1899-12-30T07:12:00"/>
    <m/>
    <d v="1899-12-30T00:28:27"/>
    <n v="0.14785445834882091"/>
    <n v="0.9341435185185184"/>
  </r>
  <r>
    <x v="7"/>
    <x v="0"/>
    <x v="0"/>
    <x v="10"/>
    <x v="3"/>
    <d v="1899-12-30T01:12:43"/>
    <d v="1899-12-30T08:00:00"/>
    <d v="1899-12-30T16:12:27"/>
    <d v="1899-12-30T08:12:27"/>
    <d v="1899-12-30T07:12:00"/>
    <d v="1899-12-30T01:00:27"/>
    <m/>
    <n v="0.14766304531762955"/>
    <n v="1.1399305555555557"/>
  </r>
  <r>
    <x v="7"/>
    <x v="0"/>
    <x v="0"/>
    <x v="11"/>
    <x v="4"/>
    <d v="1899-12-30T00:55:54"/>
    <d v="1899-12-30T08:00:05"/>
    <d v="1899-12-30T16:25:58"/>
    <d v="1899-12-30T08:25:53"/>
    <d v="1899-12-30T07:12:00"/>
    <d v="1899-12-30T01:13:53"/>
    <m/>
    <n v="0.1104997858531282"/>
    <n v="1.171026234567901"/>
  </r>
  <r>
    <x v="7"/>
    <x v="0"/>
    <x v="0"/>
    <x v="12"/>
    <x v="2"/>
    <d v="1899-12-30T00:55:31"/>
    <d v="1899-12-30T08:00:36"/>
    <d v="1899-12-30T15:13:00"/>
    <d v="1899-12-30T07:12:24"/>
    <d v="1899-12-30T07:12:00"/>
    <d v="1899-12-30T00:00:24"/>
    <m/>
    <n v="0.12839192106074623"/>
    <n v="1.0009259259259258"/>
  </r>
  <r>
    <x v="7"/>
    <x v="0"/>
    <x v="0"/>
    <x v="13"/>
    <x v="1"/>
    <d v="1899-12-30T01:02:56"/>
    <d v="1899-12-30T08:04:23"/>
    <d v="1899-12-30T16:13:14"/>
    <d v="1899-12-30T08:08:51"/>
    <d v="1899-12-30T07:12:00"/>
    <d v="1899-12-30T00:56:51"/>
    <m/>
    <n v="0.12873751321127816"/>
    <n v="1.1315972222222224"/>
  </r>
  <r>
    <x v="7"/>
    <x v="0"/>
    <x v="0"/>
    <x v="14"/>
    <x v="0"/>
    <d v="1899-12-30T01:04:46"/>
    <d v="1899-12-30T10:44:05"/>
    <d v="1899-12-30T18:00:33"/>
    <d v="1899-12-30T07:16:28"/>
    <d v="1899-12-30T07:12:00"/>
    <d v="1899-12-30T00:04:28"/>
    <m/>
    <n v="0.14838857491981064"/>
    <n v="1.0103395061728393"/>
  </r>
  <r>
    <x v="7"/>
    <x v="0"/>
    <x v="0"/>
    <x v="15"/>
    <x v="0"/>
    <d v="1899-12-30T01:09:09"/>
    <d v="1899-12-30T10:17:01"/>
    <d v="1899-12-30T18:00:40"/>
    <d v="1899-12-30T07:43:39"/>
    <d v="1899-12-30T07:12:00"/>
    <d v="1899-12-30T00:31:39"/>
    <m/>
    <n v="0.14914267227434486"/>
    <n v="1.073263888888889"/>
  </r>
  <r>
    <x v="7"/>
    <x v="0"/>
    <x v="0"/>
    <x v="16"/>
    <x v="0"/>
    <d v="1899-12-30T01:11:55"/>
    <d v="1899-12-30T08:00:29"/>
    <d v="1899-12-30T16:00:26"/>
    <d v="1899-12-30T07:59:57"/>
    <d v="1899-12-30T07:12:00"/>
    <d v="1899-12-30T00:47:57"/>
    <m/>
    <n v="0.14984199743028787"/>
    <n v="1.1109953703703705"/>
  </r>
  <r>
    <x v="7"/>
    <x v="0"/>
    <x v="0"/>
    <x v="17"/>
    <x v="2"/>
    <d v="1899-12-30T00:00:00"/>
    <d v="1899-12-30T08:15:45"/>
    <d v="1899-12-30T15:41:53"/>
    <d v="1899-12-30T07:26:08"/>
    <d v="1899-12-30T07:12:00"/>
    <d v="1899-12-30T00:14:08"/>
    <m/>
    <n v="0"/>
    <n v="1.0327160493827161"/>
  </r>
  <r>
    <x v="7"/>
    <x v="0"/>
    <x v="0"/>
    <x v="18"/>
    <x v="2"/>
    <d v="1899-12-30T00:00:00"/>
    <d v="1899-12-30T08:51:52"/>
    <d v="1899-12-30T15:21:59"/>
    <d v="1899-12-30T06:30:07"/>
    <d v="1899-12-30T07:12:00"/>
    <m/>
    <d v="1899-12-30T00:41:53"/>
    <n v="0"/>
    <n v="0.90304783950617273"/>
  </r>
  <r>
    <x v="8"/>
    <x v="0"/>
    <x v="0"/>
    <x v="0"/>
    <x v="0"/>
    <d v="1899-12-30T00:55:06"/>
    <d v="1899-12-30T08:52:46"/>
    <d v="1899-12-30T17:05:07"/>
    <d v="1899-12-30T08:12:21"/>
    <d v="1899-12-30T07:12:00"/>
    <d v="1899-12-30T01:00:21"/>
    <m/>
    <n v="0.11191225754036763"/>
    <n v="1.139699074074074"/>
  </r>
  <r>
    <x v="8"/>
    <x v="0"/>
    <x v="0"/>
    <x v="1"/>
    <x v="1"/>
    <d v="1899-12-30T01:40:06"/>
    <d v="1899-12-30T12:27:24"/>
    <d v="1899-12-30T18:00:39"/>
    <d v="1899-12-30T05:33:15"/>
    <d v="1899-12-30T06:00:00"/>
    <m/>
    <d v="1899-12-30T00:26:45"/>
    <n v="0.3003750937734434"/>
    <n v="0.92569444444444438"/>
  </r>
  <r>
    <x v="8"/>
    <x v="0"/>
    <x v="0"/>
    <x v="2"/>
    <x v="2"/>
    <d v="1899-12-30T00:00:00"/>
    <d v="1899-12-30T08:05:57"/>
    <d v="1899-12-30T15:03:18"/>
    <d v="1899-12-30T06:57:21"/>
    <d v="1899-12-30T07:12:00"/>
    <m/>
    <d v="1899-12-30T00:14:39"/>
    <n v="0"/>
    <n v="0.96608796296296306"/>
  </r>
  <r>
    <x v="8"/>
    <x v="0"/>
    <x v="0"/>
    <x v="3"/>
    <x v="1"/>
    <d v="1899-12-30T00:56:24"/>
    <d v="1899-12-30T08:05:50"/>
    <d v="1899-12-30T15:14:24"/>
    <d v="1899-12-30T07:08:34"/>
    <d v="1899-12-30T07:12:00"/>
    <m/>
    <d v="1899-12-30T00:03:26"/>
    <n v="0.1316014622384693"/>
    <n v="0.99205246913580258"/>
  </r>
  <r>
    <x v="8"/>
    <x v="0"/>
    <x v="0"/>
    <x v="4"/>
    <x v="3"/>
    <d v="1899-12-30T01:15:12"/>
    <d v="1899-12-30T08:00:36"/>
    <d v="1899-12-30T15:12:25"/>
    <d v="1899-12-30T07:11:49"/>
    <d v="1899-12-30T07:12:00"/>
    <m/>
    <d v="1899-12-30T00:00:11"/>
    <n v="0.17414797946659463"/>
    <n v="0.99957561728395061"/>
  </r>
  <r>
    <x v="8"/>
    <x v="0"/>
    <x v="0"/>
    <x v="5"/>
    <x v="1"/>
    <d v="1899-12-30T00:50:26"/>
    <d v="1899-12-30T08:01:26"/>
    <d v="1899-12-30T15:13:09"/>
    <d v="1899-12-30T07:11:43"/>
    <d v="1899-12-30T07:12:00"/>
    <m/>
    <d v="1899-12-30T00:00:17"/>
    <n v="0.1168204455082423"/>
    <n v="0.99934413580246906"/>
  </r>
  <r>
    <x v="8"/>
    <x v="0"/>
    <x v="0"/>
    <x v="6"/>
    <x v="3"/>
    <d v="1899-12-30T00:55:54"/>
    <d v="1899-12-30T10:33:06"/>
    <d v="1899-12-30T18:00:00"/>
    <d v="1899-12-30T07:26:54"/>
    <d v="1899-12-30T07:12:00"/>
    <d v="1899-12-30T00:14:54"/>
    <m/>
    <n v="0.12508391138957259"/>
    <n v="1.0344907407407409"/>
  </r>
  <r>
    <x v="8"/>
    <x v="0"/>
    <x v="0"/>
    <x v="7"/>
    <x v="0"/>
    <d v="1899-12-30T00:49:18"/>
    <d v="1899-12-30T08:00:34"/>
    <d v="1899-12-30T16:00:29"/>
    <d v="1899-12-30T07:59:55"/>
    <d v="1899-12-30T07:12:00"/>
    <d v="1899-12-30T00:47:55"/>
    <m/>
    <n v="0.10272616773745441"/>
    <n v="1.1109182098765433"/>
  </r>
  <r>
    <x v="8"/>
    <x v="0"/>
    <x v="0"/>
    <x v="9"/>
    <x v="3"/>
    <d v="1899-12-30T01:11:08"/>
    <d v="1899-12-30T09:53:43"/>
    <d v="1899-12-30T18:00:34"/>
    <d v="1899-12-30T08:06:51"/>
    <d v="1899-12-30T07:12:00"/>
    <d v="1899-12-30T00:54:51"/>
    <m/>
    <n v="0.1461093423710246"/>
    <n v="1.1269675925925926"/>
  </r>
  <r>
    <x v="8"/>
    <x v="0"/>
    <x v="0"/>
    <x v="10"/>
    <x v="3"/>
    <d v="1899-12-30T01:17:48"/>
    <d v="1899-12-30T08:00:00"/>
    <d v="1899-12-30T15:34:14"/>
    <d v="1899-12-30T07:34:14"/>
    <d v="1899-12-30T07:12:00"/>
    <d v="1899-12-30T00:22:14"/>
    <m/>
    <n v="0.17127761062596317"/>
    <n v="1.0514660493827162"/>
  </r>
  <r>
    <x v="8"/>
    <x v="0"/>
    <x v="0"/>
    <x v="11"/>
    <x v="4"/>
    <d v="1899-12-30T00:51:58"/>
    <d v="1899-12-30T08:00:07"/>
    <d v="1899-12-30T15:15:01"/>
    <d v="1899-12-30T07:14:54"/>
    <d v="1899-12-30T07:12:00"/>
    <d v="1899-12-30T00:02:54"/>
    <m/>
    <n v="0.11949107074423237"/>
    <n v="1.0067129629629632"/>
  </r>
  <r>
    <x v="8"/>
    <x v="0"/>
    <x v="0"/>
    <x v="12"/>
    <x v="2"/>
    <d v="1899-12-30T01:05:04"/>
    <d v="1899-12-30T08:00:48"/>
    <d v="1899-12-30T15:12:36"/>
    <d v="1899-12-30T07:11:48"/>
    <d v="1899-12-30T07:12:00"/>
    <m/>
    <d v="1899-12-30T00:00:12"/>
    <n v="0.15068704647213213"/>
    <n v="0.99953703703703711"/>
  </r>
  <r>
    <x v="8"/>
    <x v="0"/>
    <x v="0"/>
    <x v="13"/>
    <x v="1"/>
    <d v="1899-12-30T00:56:54"/>
    <d v="1899-12-30T08:00:51"/>
    <d v="1899-12-30T15:13:25"/>
    <d v="1899-12-30T07:12:34"/>
    <d v="1899-12-30T07:12:00"/>
    <d v="1899-12-30T00:00:34"/>
    <m/>
    <n v="0.13154041766201743"/>
    <n v="1.0013117283950617"/>
  </r>
  <r>
    <x v="8"/>
    <x v="0"/>
    <x v="0"/>
    <x v="14"/>
    <x v="0"/>
    <d v="1899-12-30T01:03:31"/>
    <d v="1899-12-30T10:36:20"/>
    <d v="1899-12-30T18:00:36"/>
    <d v="1899-12-30T07:24:16"/>
    <d v="1899-12-30T07:12:00"/>
    <d v="1899-12-30T00:12:16"/>
    <m/>
    <n v="0.1429696878751501"/>
    <n v="1.028395061728395"/>
  </r>
  <r>
    <x v="8"/>
    <x v="0"/>
    <x v="0"/>
    <x v="15"/>
    <x v="0"/>
    <d v="1899-12-30T00:55:38"/>
    <d v="1899-12-30T10:18:36"/>
    <d v="1899-12-30T18:00:24"/>
    <d v="1899-12-30T07:41:48"/>
    <d v="1899-12-30T07:12:00"/>
    <d v="1899-12-30T00:29:48"/>
    <m/>
    <n v="0.12047062220297385"/>
    <n v="1.0689814814814818"/>
  </r>
  <r>
    <x v="8"/>
    <x v="0"/>
    <x v="0"/>
    <x v="17"/>
    <x v="2"/>
    <d v="1899-12-30T00:00:00"/>
    <d v="1899-12-30T08:15:54"/>
    <d v="1899-12-30T15:41:01"/>
    <d v="1899-12-30T07:25:07"/>
    <d v="1899-12-30T07:12:00"/>
    <d v="1899-12-30T00:13:07"/>
    <m/>
    <n v="0"/>
    <n v="1.0303626543209876"/>
  </r>
  <r>
    <x v="8"/>
    <x v="0"/>
    <x v="0"/>
    <x v="18"/>
    <x v="2"/>
    <d v="1899-12-30T00:00:00"/>
    <d v="1899-12-30T08:03:42"/>
    <d v="1899-12-30T15:23:07"/>
    <d v="1899-12-30T07:19:25"/>
    <d v="1899-12-30T07:12:00"/>
    <d v="1899-12-30T00:07:25"/>
    <m/>
    <n v="0"/>
    <n v="1.0171682098765433"/>
  </r>
  <r>
    <x v="9"/>
    <x v="0"/>
    <x v="0"/>
    <x v="0"/>
    <x v="0"/>
    <d v="1899-12-30T00:58:49"/>
    <d v="1899-12-30T08:00:42"/>
    <d v="1899-12-30T15:12:42"/>
    <d v="1899-12-30T07:12:00"/>
    <d v="1899-12-30T07:12:00"/>
    <d v="1899-12-30T00:00:00"/>
    <m/>
    <n v="0.13614969135802465"/>
    <n v="1.0000000000000002"/>
  </r>
  <r>
    <x v="9"/>
    <x v="0"/>
    <x v="0"/>
    <x v="2"/>
    <x v="2"/>
    <d v="1899-12-30T00:00:00"/>
    <d v="1899-12-30T08:22:34"/>
    <d v="1899-12-30T15:23:17"/>
    <d v="1899-12-30T07:00:43"/>
    <d v="1899-12-30T07:12:00"/>
    <m/>
    <d v="1899-12-30T00:11:17"/>
    <n v="0"/>
    <n v="0.97388117283950626"/>
  </r>
  <r>
    <x v="9"/>
    <x v="0"/>
    <x v="0"/>
    <x v="3"/>
    <x v="1"/>
    <d v="1899-12-30T01:03:57"/>
    <d v="1899-12-30T08:03:03"/>
    <d v="1899-12-30T15:13:28"/>
    <d v="1899-12-30T07:10:25"/>
    <d v="1899-12-30T07:12:00"/>
    <m/>
    <d v="1899-12-30T00:01:35"/>
    <n v="0.14857696030977735"/>
    <n v="0.99633487654320996"/>
  </r>
  <r>
    <x v="9"/>
    <x v="0"/>
    <x v="0"/>
    <x v="5"/>
    <x v="1"/>
    <d v="1899-12-30T01:01:57"/>
    <d v="1899-12-30T08:02:36"/>
    <d v="1899-12-30T15:14:09"/>
    <d v="1899-12-30T07:11:33"/>
    <d v="1899-12-30T07:12:00"/>
    <m/>
    <d v="1899-12-30T00:00:27"/>
    <n v="0.14355231143552313"/>
    <n v="0.99895833333333339"/>
  </r>
  <r>
    <x v="9"/>
    <x v="0"/>
    <x v="0"/>
    <x v="6"/>
    <x v="3"/>
    <d v="1899-12-30T00:48:43"/>
    <d v="1899-12-30T09:20:09"/>
    <d v="1899-12-30T18:02:45"/>
    <d v="1899-12-30T08:42:36"/>
    <d v="1899-12-30T07:12:00"/>
    <d v="1899-12-30T01:30:36"/>
    <m/>
    <n v="9.3219798443679058E-2"/>
    <n v="1.2097222222222221"/>
  </r>
  <r>
    <x v="9"/>
    <x v="0"/>
    <x v="0"/>
    <x v="7"/>
    <x v="0"/>
    <d v="1899-12-30T00:47:29"/>
    <d v="1899-12-30T08:00:34"/>
    <d v="1899-12-30T15:12:49"/>
    <d v="1899-12-30T07:12:15"/>
    <d v="1899-12-30T07:12:00"/>
    <d v="1899-12-30T00:00:15"/>
    <m/>
    <n v="0.10985155195681512"/>
    <n v="1.0005787037037037"/>
  </r>
  <r>
    <x v="9"/>
    <x v="0"/>
    <x v="0"/>
    <x v="8"/>
    <x v="1"/>
    <d v="1899-12-30T01:03:36"/>
    <d v="1899-12-30T09:55:55"/>
    <d v="1899-12-30T18:00:29"/>
    <d v="1899-12-30T08:04:34"/>
    <d v="1899-12-30T07:12:00"/>
    <d v="1899-12-30T00:52:34"/>
    <m/>
    <n v="0.13125128981220335"/>
    <n v="1.1216820987654321"/>
  </r>
  <r>
    <x v="9"/>
    <x v="0"/>
    <x v="0"/>
    <x v="9"/>
    <x v="3"/>
    <d v="1899-12-30T00:58:57"/>
    <d v="1899-12-30T10:47:07"/>
    <d v="1899-12-30T18:00:31"/>
    <d v="1899-12-30T07:13:24"/>
    <d v="1899-12-30T07:12:00"/>
    <d v="1899-12-30T00:01:24"/>
    <m/>
    <n v="0.13601753576372866"/>
    <n v="1.0032407407407409"/>
  </r>
  <r>
    <x v="9"/>
    <x v="0"/>
    <x v="0"/>
    <x v="10"/>
    <x v="3"/>
    <d v="1899-12-30T01:12:51"/>
    <d v="1899-12-30T08:00:00"/>
    <d v="1899-12-30T15:12:40"/>
    <d v="1899-12-30T07:12:40"/>
    <d v="1899-12-30T07:12:00"/>
    <d v="1899-12-30T00:00:40"/>
    <m/>
    <n v="0.16837442218798149"/>
    <n v="1.0015432098765433"/>
  </r>
  <r>
    <x v="9"/>
    <x v="0"/>
    <x v="0"/>
    <x v="11"/>
    <x v="4"/>
    <d v="1899-12-30T00:46:41"/>
    <d v="1899-12-30T08:00:01"/>
    <d v="1899-12-30T15:14:03"/>
    <d v="1899-12-30T07:14:02"/>
    <d v="1899-12-30T07:12:00"/>
    <d v="1899-12-30T00:02:02"/>
    <m/>
    <n v="0.10755702327010215"/>
    <n v="1.0047067901234568"/>
  </r>
  <r>
    <x v="9"/>
    <x v="0"/>
    <x v="0"/>
    <x v="12"/>
    <x v="2"/>
    <d v="1899-12-30T01:01:04"/>
    <d v="1899-12-30T08:00:47"/>
    <d v="1899-12-30T15:12:55"/>
    <d v="1899-12-30T07:12:08"/>
    <d v="1899-12-30T07:12:00"/>
    <d v="1899-12-30T00:00:08"/>
    <m/>
    <n v="0.14131440913298363"/>
    <n v="1.0003086419753089"/>
  </r>
  <r>
    <x v="9"/>
    <x v="0"/>
    <x v="0"/>
    <x v="13"/>
    <x v="1"/>
    <d v="1899-12-30T00:51:26"/>
    <d v="1899-12-30T08:01:03"/>
    <d v="1899-12-30T15:13:28"/>
    <d v="1899-12-30T07:12:25"/>
    <d v="1899-12-30T07:12:00"/>
    <d v="1899-12-30T00:00:25"/>
    <m/>
    <n v="0.11894391983041049"/>
    <n v="1.0009645061728396"/>
  </r>
  <r>
    <x v="9"/>
    <x v="0"/>
    <x v="0"/>
    <x v="14"/>
    <x v="0"/>
    <d v="1899-12-30T01:04:36"/>
    <d v="1899-12-30T11:04:08"/>
    <d v="1899-12-30T18:00:35"/>
    <d v="1899-12-30T06:56:27"/>
    <d v="1899-12-30T07:12:00"/>
    <m/>
    <d v="1899-12-30T00:15:33"/>
    <n v="0.15512066274462721"/>
    <n v="0.96400462962962952"/>
  </r>
  <r>
    <x v="9"/>
    <x v="0"/>
    <x v="0"/>
    <x v="15"/>
    <x v="0"/>
    <d v="1899-12-30T01:10:31"/>
    <d v="1899-12-30T09:44:58"/>
    <d v="1899-12-30T18:00:49"/>
    <d v="1899-12-30T08:15:51"/>
    <d v="1899-12-30T07:12:00"/>
    <d v="1899-12-30T01:03:51"/>
    <m/>
    <n v="0.14221370710228226"/>
    <n v="1.1478009259259261"/>
  </r>
  <r>
    <x v="9"/>
    <x v="0"/>
    <x v="0"/>
    <x v="16"/>
    <x v="0"/>
    <d v="1899-12-30T01:12:23"/>
    <d v="1899-12-30T08:01:19"/>
    <d v="1899-12-30T15:13:59"/>
    <d v="1899-12-30T07:12:40"/>
    <d v="1899-12-30T07:12:00"/>
    <d v="1899-12-30T00:00:40"/>
    <m/>
    <n v="0.16729583975346685"/>
    <n v="1.0015432098765433"/>
  </r>
  <r>
    <x v="9"/>
    <x v="0"/>
    <x v="0"/>
    <x v="17"/>
    <x v="2"/>
    <d v="1899-12-30T00:00:00"/>
    <d v="1899-12-30T08:24:47"/>
    <d v="1899-12-30T16:05:51"/>
    <d v="1899-12-30T07:41:04"/>
    <d v="1899-12-30T07:12:00"/>
    <d v="1899-12-30T00:29:04"/>
    <m/>
    <n v="0"/>
    <n v="1.0672839506172842"/>
  </r>
  <r>
    <x v="9"/>
    <x v="0"/>
    <x v="0"/>
    <x v="18"/>
    <x v="2"/>
    <d v="1899-12-30T00:00:00"/>
    <d v="1899-12-30T08:00:01"/>
    <d v="1899-12-30T15:23:33"/>
    <d v="1899-12-30T07:23:32"/>
    <d v="1899-12-30T07:12:00"/>
    <d v="1899-12-30T00:11:32"/>
    <m/>
    <n v="0"/>
    <n v="1.0266975308641977"/>
  </r>
  <r>
    <x v="10"/>
    <x v="0"/>
    <x v="0"/>
    <x v="1"/>
    <x v="1"/>
    <d v="1899-12-30T01:02:18"/>
    <d v="1899-12-30T12:25:25"/>
    <d v="1899-12-30T18:00:17"/>
    <d v="1899-12-30T05:34:52"/>
    <d v="1899-12-30T06:00:00"/>
    <m/>
    <d v="1899-12-30T00:25:08"/>
    <n v="0.18604419669520206"/>
    <n v="0.93018518518518523"/>
  </r>
  <r>
    <x v="10"/>
    <x v="0"/>
    <x v="0"/>
    <x v="2"/>
    <x v="2"/>
    <d v="1899-12-30T00:00:00"/>
    <d v="1899-12-30T08:09:20"/>
    <d v="1899-12-30T16:10:21"/>
    <d v="1899-12-30T08:01:01"/>
    <d v="1899-12-30T07:12:00"/>
    <d v="1899-12-30T00:49:01"/>
    <m/>
    <n v="0"/>
    <n v="1.1134645061728397"/>
  </r>
  <r>
    <x v="10"/>
    <x v="0"/>
    <x v="0"/>
    <x v="3"/>
    <x v="1"/>
    <d v="1899-12-30T01:09:29"/>
    <d v="1899-12-30T08:06:43"/>
    <d v="1899-12-30T16:00:13"/>
    <d v="1899-12-30T07:53:30"/>
    <d v="1899-12-30T07:12:00"/>
    <d v="1899-12-30T00:41:30"/>
    <m/>
    <n v="0.14674410418866599"/>
    <n v="1.0960648148148147"/>
  </r>
  <r>
    <x v="10"/>
    <x v="0"/>
    <x v="0"/>
    <x v="4"/>
    <x v="3"/>
    <d v="1899-12-30T01:09:10"/>
    <d v="1899-12-30T08:05:07"/>
    <d v="1899-12-30T15:20:57"/>
    <d v="1899-12-30T07:15:50"/>
    <d v="1899-12-30T07:12:00"/>
    <d v="1899-12-30T00:03:50"/>
    <m/>
    <n v="0.15869980879541107"/>
    <n v="1.0088734567901236"/>
  </r>
  <r>
    <x v="10"/>
    <x v="0"/>
    <x v="0"/>
    <x v="5"/>
    <x v="1"/>
    <d v="1899-12-30T00:56:04"/>
    <d v="1899-12-30T08:08:19"/>
    <d v="1899-12-30T15:21:00"/>
    <d v="1899-12-30T07:12:41"/>
    <d v="1899-12-30T07:12:00"/>
    <d v="1899-12-30T00:00:41"/>
    <m/>
    <n v="0.12957898386040601"/>
    <n v="1.0015817901234567"/>
  </r>
  <r>
    <x v="10"/>
    <x v="0"/>
    <x v="0"/>
    <x v="6"/>
    <x v="3"/>
    <d v="1899-12-30T00:48:25"/>
    <d v="1899-12-30T11:00:14"/>
    <d v="1899-12-30T18:01:00"/>
    <d v="1899-12-30T07:00:46"/>
    <d v="1899-12-30T07:12:00"/>
    <m/>
    <d v="1899-12-30T00:11:14"/>
    <n v="0.115067733502337"/>
    <n v="0.97399691358024698"/>
  </r>
  <r>
    <x v="10"/>
    <x v="0"/>
    <x v="0"/>
    <x v="7"/>
    <x v="0"/>
    <d v="1899-12-30T00:50:04"/>
    <d v="1899-12-30T08:00:34"/>
    <d v="1899-12-30T16:02:10"/>
    <d v="1899-12-30T08:01:36"/>
    <d v="1899-12-30T07:12:00"/>
    <d v="1899-12-30T00:49:36"/>
    <m/>
    <n v="0.10395902547065336"/>
    <n v="1.1148148148148149"/>
  </r>
  <r>
    <x v="10"/>
    <x v="0"/>
    <x v="0"/>
    <x v="8"/>
    <x v="1"/>
    <d v="1899-12-30T01:03:30"/>
    <d v="1899-12-30T10:42:24"/>
    <d v="1899-12-30T18:00:15"/>
    <d v="1899-12-30T07:17:51"/>
    <d v="1899-12-30T07:12:00"/>
    <d v="1899-12-30T00:05:51"/>
    <m/>
    <n v="0.14502683567431771"/>
    <n v="1.0135416666666668"/>
  </r>
  <r>
    <x v="10"/>
    <x v="0"/>
    <x v="0"/>
    <x v="9"/>
    <x v="3"/>
    <d v="1899-12-30T01:10:00"/>
    <d v="1899-12-30T10:03:45"/>
    <d v="1899-12-30T17:59:47"/>
    <d v="1899-12-30T07:56:02"/>
    <d v="1899-12-30T07:12:00"/>
    <d v="1899-12-30T00:44:02"/>
    <m/>
    <n v="0.14704852601358448"/>
    <n v="1.1019290123456791"/>
  </r>
  <r>
    <x v="10"/>
    <x v="0"/>
    <x v="0"/>
    <x v="10"/>
    <x v="3"/>
    <d v="1899-12-30T01:01:25"/>
    <d v="1899-12-30T08:00:10"/>
    <d v="1899-12-30T16:12:31"/>
    <d v="1899-12-30T08:12:21"/>
    <d v="1899-12-30T07:12:00"/>
    <d v="1899-12-30T01:00:21"/>
    <m/>
    <n v="0.12474188416099662"/>
    <n v="1.139699074074074"/>
  </r>
  <r>
    <x v="10"/>
    <x v="0"/>
    <x v="0"/>
    <x v="11"/>
    <x v="4"/>
    <d v="1899-12-30T01:03:51"/>
    <d v="1899-12-30T08:04:33"/>
    <d v="1899-12-30T16:14:26"/>
    <d v="1899-12-30T08:09:53"/>
    <d v="1899-12-30T07:12:00"/>
    <d v="1899-12-30T00:57:53"/>
    <m/>
    <n v="0.13033715510495694"/>
    <n v="1.1339891975308645"/>
  </r>
  <r>
    <x v="10"/>
    <x v="0"/>
    <x v="0"/>
    <x v="12"/>
    <x v="2"/>
    <d v="1899-12-30T00:59:55"/>
    <d v="1899-12-30T08:00:43"/>
    <d v="1899-12-30T15:12:53"/>
    <d v="1899-12-30T07:12:10"/>
    <d v="1899-12-30T07:12:00"/>
    <d v="1899-12-30T00:00:10"/>
    <m/>
    <n v="0.13864249903586581"/>
    <n v="1.0003858024691357"/>
  </r>
  <r>
    <x v="10"/>
    <x v="0"/>
    <x v="0"/>
    <x v="13"/>
    <x v="1"/>
    <d v="1899-12-30T00:54:42"/>
    <d v="1899-12-30T08:00:03"/>
    <d v="1899-12-30T16:13:08"/>
    <d v="1899-12-30T08:13:05"/>
    <d v="1899-12-30T07:12:00"/>
    <d v="1899-12-30T01:01:05"/>
    <m/>
    <n v="0.11093459523407131"/>
    <n v="1.1413966049382716"/>
  </r>
  <r>
    <x v="10"/>
    <x v="0"/>
    <x v="0"/>
    <x v="14"/>
    <x v="0"/>
    <d v="1899-12-30T01:04:43"/>
    <d v="1899-12-30T10:41:00"/>
    <d v="1899-12-30T18:00:15"/>
    <d v="1899-12-30T07:19:15"/>
    <d v="1899-12-30T07:12:00"/>
    <d v="1899-12-30T00:07:15"/>
    <m/>
    <n v="0.14733447163726046"/>
    <n v="1.0167824074074077"/>
  </r>
  <r>
    <x v="10"/>
    <x v="0"/>
    <x v="0"/>
    <x v="15"/>
    <x v="0"/>
    <d v="1899-12-30T01:05:18"/>
    <d v="1899-12-30T09:47:35"/>
    <d v="1899-12-30T18:00:19"/>
    <d v="1899-12-30T08:12:44"/>
    <d v="1899-12-30T07:12:00"/>
    <d v="1899-12-30T01:00:44"/>
    <m/>
    <n v="0.13252604519009606"/>
    <n v="1.1405864197530866"/>
  </r>
  <r>
    <x v="10"/>
    <x v="0"/>
    <x v="0"/>
    <x v="17"/>
    <x v="2"/>
    <d v="1899-12-30T00:00:00"/>
    <d v="1899-12-30T08:18:33"/>
    <d v="1899-12-30T16:42:22"/>
    <d v="1899-12-30T08:23:49"/>
    <d v="1899-12-30T07:12:00"/>
    <d v="1899-12-30T01:11:49"/>
    <m/>
    <n v="0"/>
    <n v="1.1662422839506172"/>
  </r>
  <r>
    <x v="10"/>
    <x v="0"/>
    <x v="0"/>
    <x v="18"/>
    <x v="2"/>
    <d v="1899-12-30T00:00:00"/>
    <d v="1899-12-30T08:57:57"/>
    <d v="1899-12-30T16:14:17"/>
    <d v="1899-12-30T07:16:20"/>
    <d v="1899-12-30T07:12:00"/>
    <d v="1899-12-30T00:04:20"/>
    <m/>
    <n v="0"/>
    <n v="1.0100308641975309"/>
  </r>
  <r>
    <x v="11"/>
    <x v="0"/>
    <x v="0"/>
    <x v="0"/>
    <x v="0"/>
    <d v="1899-12-30T01:07:12"/>
    <d v="1899-12-30T08:00:23"/>
    <d v="1899-12-30T15:13:13"/>
    <d v="1899-12-30T07:12:50"/>
    <d v="1899-12-30T07:12:00"/>
    <d v="1899-12-30T00:00:50"/>
    <m/>
    <n v="0.15525606469002698"/>
    <n v="1.001929012345679"/>
  </r>
  <r>
    <x v="11"/>
    <x v="0"/>
    <x v="0"/>
    <x v="1"/>
    <x v="1"/>
    <d v="1899-12-30T01:14:40"/>
    <d v="1899-12-30T12:14:46"/>
    <d v="1899-12-30T18:00:44"/>
    <d v="1899-12-30T05:45:58"/>
    <d v="1899-12-30T06:00:00"/>
    <m/>
    <d v="1899-12-30T00:14:02"/>
    <n v="0.21582040659023027"/>
    <n v="0.96101851851851849"/>
  </r>
  <r>
    <x v="11"/>
    <x v="0"/>
    <x v="0"/>
    <x v="2"/>
    <x v="2"/>
    <d v="1899-12-30T00:00:00"/>
    <d v="1899-12-30T08:40:48"/>
    <d v="1899-12-30T15:34:06"/>
    <d v="1899-12-30T06:53:18"/>
    <d v="1899-12-30T07:12:00"/>
    <m/>
    <d v="1899-12-30T00:18:42"/>
    <n v="0"/>
    <n v="0.95671296296296304"/>
  </r>
  <r>
    <x v="11"/>
    <x v="0"/>
    <x v="0"/>
    <x v="3"/>
    <x v="1"/>
    <d v="1899-12-30T01:11:34"/>
    <d v="1899-12-30T08:06:31"/>
    <d v="1899-12-30T15:13:12"/>
    <d v="1899-12-30T07:06:41"/>
    <d v="1899-12-30T07:12:00"/>
    <m/>
    <d v="1899-12-30T00:05:19"/>
    <n v="0.16772782313190893"/>
    <n v="0.98769290123456799"/>
  </r>
  <r>
    <x v="11"/>
    <x v="0"/>
    <x v="0"/>
    <x v="4"/>
    <x v="3"/>
    <d v="1899-12-30T01:24:03"/>
    <d v="1899-12-30T08:03:21"/>
    <d v="1899-12-30T15:13:58"/>
    <d v="1899-12-30T07:10:37"/>
    <d v="1899-12-30T07:12:00"/>
    <m/>
    <d v="1899-12-30T00:01:23"/>
    <n v="0.1951851995200681"/>
    <n v="0.99679783950617296"/>
  </r>
  <r>
    <x v="11"/>
    <x v="0"/>
    <x v="0"/>
    <x v="5"/>
    <x v="1"/>
    <d v="1899-12-30T01:05:00"/>
    <d v="1899-12-30T08:02:25"/>
    <d v="1899-12-30T15:14:40"/>
    <d v="1899-12-30T07:12:15"/>
    <d v="1899-12-30T07:12:00"/>
    <d v="1899-12-30T00:00:15"/>
    <m/>
    <n v="0.15037593984962405"/>
    <n v="1.0005787037037037"/>
  </r>
  <r>
    <x v="11"/>
    <x v="0"/>
    <x v="0"/>
    <x v="6"/>
    <x v="3"/>
    <d v="1899-12-30T00:53:46"/>
    <d v="1899-12-30T10:36:18"/>
    <d v="1899-12-30T18:00:45"/>
    <d v="1899-12-30T07:24:27"/>
    <d v="1899-12-30T07:12:00"/>
    <d v="1899-12-30T00:12:27"/>
    <m/>
    <n v="0.12097348783140212"/>
    <n v="1.0288194444444443"/>
  </r>
  <r>
    <x v="11"/>
    <x v="0"/>
    <x v="0"/>
    <x v="7"/>
    <x v="0"/>
    <d v="1899-12-30T01:01:22"/>
    <d v="1899-12-30T08:00:34"/>
    <d v="1899-12-30T15:12:28"/>
    <d v="1899-12-30T07:11:54"/>
    <d v="1899-12-30T07:12:00"/>
    <m/>
    <d v="1899-12-30T00:00:06"/>
    <n v="0.14208535926526203"/>
    <n v="0.99976851851851845"/>
  </r>
  <r>
    <x v="11"/>
    <x v="0"/>
    <x v="0"/>
    <x v="8"/>
    <x v="1"/>
    <d v="1899-12-30T00:57:20"/>
    <d v="1899-12-30T09:54:27"/>
    <d v="1899-12-30T18:00:32"/>
    <d v="1899-12-30T08:06:05"/>
    <d v="1899-12-30T07:12:00"/>
    <d v="1899-12-30T00:54:05"/>
    <m/>
    <n v="0.11794959711983544"/>
    <n v="1.1251929012345678"/>
  </r>
  <r>
    <x v="11"/>
    <x v="0"/>
    <x v="0"/>
    <x v="9"/>
    <x v="3"/>
    <d v="1899-12-30T00:53:34"/>
    <d v="1899-12-30T09:52:03"/>
    <d v="1899-12-30T18:00:35"/>
    <d v="1899-12-30T08:08:32"/>
    <d v="1899-12-30T07:12:00"/>
    <d v="1899-12-30T00:56:32"/>
    <m/>
    <n v="0.10964792576419213"/>
    <n v="1.1308641975308642"/>
  </r>
  <r>
    <x v="11"/>
    <x v="0"/>
    <x v="0"/>
    <x v="10"/>
    <x v="3"/>
    <d v="1899-12-30T01:14:01"/>
    <d v="1899-12-30T08:00:10"/>
    <d v="1899-12-30T16:13:25"/>
    <d v="1899-12-30T08:13:15"/>
    <d v="1899-12-30T07:12:00"/>
    <d v="1899-12-30T01:01:15"/>
    <m/>
    <n v="0.15005913161006926"/>
    <n v="1.1417824074074077"/>
  </r>
  <r>
    <x v="11"/>
    <x v="0"/>
    <x v="0"/>
    <x v="11"/>
    <x v="4"/>
    <d v="1899-12-30T01:03:43"/>
    <d v="1899-12-30T08:00:02"/>
    <d v="1899-12-30T15:17:37"/>
    <d v="1899-12-30T07:17:35"/>
    <d v="1899-12-30T07:12:00"/>
    <d v="1899-12-30T00:05:35"/>
    <m/>
    <n v="0.14561035993144167"/>
    <n v="1.0129243827160492"/>
  </r>
  <r>
    <x v="11"/>
    <x v="0"/>
    <x v="0"/>
    <x v="12"/>
    <x v="2"/>
    <d v="1899-12-30T01:01:08"/>
    <d v="1899-12-30T08:00:23"/>
    <d v="1899-12-30T15:12:26"/>
    <d v="1899-12-30T07:12:03"/>
    <d v="1899-12-30T07:12:00"/>
    <d v="1899-12-30T00:00:03"/>
    <m/>
    <n v="0.14149596883076801"/>
    <n v="1.0001157407407408"/>
  </r>
  <r>
    <x v="11"/>
    <x v="0"/>
    <x v="0"/>
    <x v="13"/>
    <x v="1"/>
    <d v="1899-12-30T01:05:30"/>
    <d v="1899-12-30T08:00:54"/>
    <d v="1899-12-30T15:18:31"/>
    <d v="1899-12-30T07:17:37"/>
    <d v="1899-12-30T07:12:00"/>
    <d v="1899-12-30T00:05:37"/>
    <m/>
    <n v="0.14967437254827287"/>
    <n v="1.0130015432098765"/>
  </r>
  <r>
    <x v="11"/>
    <x v="0"/>
    <x v="0"/>
    <x v="14"/>
    <x v="0"/>
    <d v="1899-12-30T01:02:09"/>
    <d v="1899-12-30T10:19:29"/>
    <d v="1899-12-30T18:00:17"/>
    <d v="1899-12-30T07:40:48"/>
    <d v="1899-12-30T07:12:00"/>
    <d v="1899-12-30T00:28:48"/>
    <m/>
    <n v="0.13487413194444448"/>
    <n v="1.0666666666666667"/>
  </r>
  <r>
    <x v="11"/>
    <x v="0"/>
    <x v="0"/>
    <x v="15"/>
    <x v="0"/>
    <d v="1899-12-30T01:00:02"/>
    <d v="1899-12-30T10:11:07"/>
    <d v="1899-12-30T18:01:08"/>
    <d v="1899-12-30T07:50:01"/>
    <d v="1899-12-30T07:12:00"/>
    <d v="1899-12-30T00:38:01"/>
    <m/>
    <n v="0.12772596716428494"/>
    <n v="1.0880015432098766"/>
  </r>
  <r>
    <x v="11"/>
    <x v="0"/>
    <x v="0"/>
    <x v="16"/>
    <x v="0"/>
    <d v="1899-12-30T01:15:01"/>
    <d v="1899-12-30T08:00:58"/>
    <d v="1899-12-30T15:14:00"/>
    <d v="1899-12-30T07:13:02"/>
    <d v="1899-12-30T07:12:00"/>
    <d v="1899-12-30T00:01:02"/>
    <m/>
    <n v="0.17323531675775539"/>
    <n v="1.0023919753086419"/>
  </r>
  <r>
    <x v="11"/>
    <x v="0"/>
    <x v="0"/>
    <x v="17"/>
    <x v="2"/>
    <d v="1899-12-30T00:00:00"/>
    <d v="1899-12-30T08:30:02"/>
    <d v="1899-12-30T15:42:31"/>
    <d v="1899-12-30T07:12:29"/>
    <d v="1899-12-30T07:12:00"/>
    <d v="1899-12-30T00:00:29"/>
    <m/>
    <n v="0"/>
    <n v="1.0011188271604938"/>
  </r>
  <r>
    <x v="11"/>
    <x v="0"/>
    <x v="0"/>
    <x v="18"/>
    <x v="2"/>
    <d v="1899-12-30T00:00:00"/>
    <d v="1899-12-30T08:01:00"/>
    <d v="1899-12-30T15:14:46"/>
    <d v="1899-12-30T07:13:46"/>
    <d v="1899-12-30T07:12:00"/>
    <d v="1899-12-30T00:01:46"/>
    <m/>
    <n v="0"/>
    <n v="1.0040895061728397"/>
  </r>
  <r>
    <x v="12"/>
    <x v="0"/>
    <x v="0"/>
    <x v="0"/>
    <x v="0"/>
    <d v="1899-12-30T01:01:55"/>
    <d v="1899-12-30T08:00:34"/>
    <d v="1899-12-30T16:12:32"/>
    <d v="1899-12-30T08:11:58"/>
    <d v="1899-12-30T07:12:00"/>
    <d v="1899-12-30T00:59:58"/>
    <m/>
    <n v="0.12585541025814756"/>
    <n v="1.1388117283950618"/>
  </r>
  <r>
    <x v="12"/>
    <x v="0"/>
    <x v="0"/>
    <x v="2"/>
    <x v="2"/>
    <d v="1899-12-30T00:00:00"/>
    <d v="1899-12-30T08:09:15"/>
    <d v="1899-12-30T15:23:38"/>
    <d v="1899-12-30T07:14:23"/>
    <d v="1899-12-30T07:12:00"/>
    <d v="1899-12-30T00:02:23"/>
    <m/>
    <n v="0"/>
    <n v="1.0055169753086421"/>
  </r>
  <r>
    <x v="12"/>
    <x v="0"/>
    <x v="0"/>
    <x v="3"/>
    <x v="1"/>
    <d v="1899-12-30T01:10:25"/>
    <d v="1899-12-30T08:06:49"/>
    <d v="1899-12-30T16:01:05"/>
    <d v="1899-12-30T07:54:16"/>
    <d v="1899-12-30T07:12:00"/>
    <d v="1899-12-30T00:42:16"/>
    <m/>
    <n v="0.14847483834692157"/>
    <n v="1.0978395061728394"/>
  </r>
  <r>
    <x v="12"/>
    <x v="0"/>
    <x v="0"/>
    <x v="4"/>
    <x v="3"/>
    <d v="1899-12-30T01:13:42"/>
    <d v="1899-12-30T08:05:36"/>
    <d v="1899-12-30T15:15:31"/>
    <d v="1899-12-30T07:09:55"/>
    <d v="1899-12-30T07:12:00"/>
    <m/>
    <d v="1899-12-30T00:02:05"/>
    <n v="0.17142857142857143"/>
    <n v="0.99517746913580252"/>
  </r>
  <r>
    <x v="12"/>
    <x v="0"/>
    <x v="0"/>
    <x v="5"/>
    <x v="1"/>
    <d v="1899-12-30T00:54:20"/>
    <d v="1899-12-30T08:07:20"/>
    <d v="1899-12-30T16:12:57"/>
    <d v="1899-12-30T08:05:37"/>
    <d v="1899-12-30T07:12:00"/>
    <d v="1899-12-30T00:53:37"/>
    <m/>
    <n v="0.11188523183581013"/>
    <n v="1.1241126543209878"/>
  </r>
  <r>
    <x v="12"/>
    <x v="0"/>
    <x v="0"/>
    <x v="6"/>
    <x v="3"/>
    <d v="1899-12-30T00:56:08"/>
    <d v="1899-12-30T10:08:35"/>
    <d v="1899-12-30T18:01:57"/>
    <d v="1899-12-30T07:53:22"/>
    <d v="1899-12-30T07:12:00"/>
    <d v="1899-12-30T00:41:22"/>
    <m/>
    <n v="0.11858319836631222"/>
    <n v="1.0957561728395062"/>
  </r>
  <r>
    <x v="12"/>
    <x v="0"/>
    <x v="0"/>
    <x v="7"/>
    <x v="0"/>
    <d v="1899-12-30T00:49:22"/>
    <d v="1899-12-30T08:00:34"/>
    <d v="1899-12-30T15:12:44"/>
    <d v="1899-12-30T07:12:10"/>
    <d v="1899-12-30T07:12:00"/>
    <d v="1899-12-30T00:00:10"/>
    <m/>
    <n v="0.11423062090242964"/>
    <n v="1.0003858024691357"/>
  </r>
  <r>
    <x v="12"/>
    <x v="0"/>
    <x v="0"/>
    <x v="8"/>
    <x v="1"/>
    <d v="1899-12-30T01:09:11"/>
    <d v="1899-12-30T10:07:32"/>
    <d v="1899-12-30T18:00:37"/>
    <d v="1899-12-30T07:53:05"/>
    <d v="1899-12-30T07:12:00"/>
    <d v="1899-12-30T00:41:05"/>
    <m/>
    <n v="0.14623921085080147"/>
    <n v="1.0951003086419755"/>
  </r>
  <r>
    <x v="12"/>
    <x v="0"/>
    <x v="0"/>
    <x v="9"/>
    <x v="3"/>
    <d v="1899-12-30T00:56:41"/>
    <d v="1899-12-30T09:51:51"/>
    <d v="1899-12-30T18:00:21"/>
    <d v="1899-12-30T08:08:30"/>
    <d v="1899-12-30T07:12:00"/>
    <d v="1899-12-30T00:56:30"/>
    <m/>
    <n v="0.11603548277038553"/>
    <n v="1.1307870370370372"/>
  </r>
  <r>
    <x v="12"/>
    <x v="0"/>
    <x v="0"/>
    <x v="10"/>
    <x v="3"/>
    <d v="1899-12-30T01:02:36"/>
    <d v="1899-12-30T08:00:21"/>
    <d v="1899-12-30T16:13:14"/>
    <d v="1899-12-30T08:12:53"/>
    <d v="1899-12-30T07:12:00"/>
    <d v="1899-12-30T01:00:53"/>
    <m/>
    <n v="0.12700774354985969"/>
    <n v="1.1409336419753087"/>
  </r>
  <r>
    <x v="12"/>
    <x v="0"/>
    <x v="0"/>
    <x v="11"/>
    <x v="4"/>
    <d v="1899-12-30T00:59:49"/>
    <d v="1899-12-30T08:00:06"/>
    <d v="1899-12-30T15:16:15"/>
    <d v="1899-12-30T07:16:09"/>
    <d v="1899-12-30T07:12:00"/>
    <d v="1899-12-30T00:04:09"/>
    <m/>
    <n v="0.13714700599946503"/>
    <n v="1.0096064814814816"/>
  </r>
  <r>
    <x v="12"/>
    <x v="0"/>
    <x v="0"/>
    <x v="12"/>
    <x v="2"/>
    <d v="1899-12-30T01:10:52"/>
    <d v="1899-12-30T08:00:36"/>
    <d v="1899-12-30T15:16:39"/>
    <d v="1899-12-30T07:16:03"/>
    <d v="1899-12-30T07:12:00"/>
    <d v="1899-12-30T00:04:03"/>
    <m/>
    <n v="0.162519588732179"/>
    <n v="1.0093750000000001"/>
  </r>
  <r>
    <x v="12"/>
    <x v="0"/>
    <x v="0"/>
    <x v="13"/>
    <x v="1"/>
    <d v="1899-12-30T00:57:43"/>
    <d v="1899-12-30T08:00:38"/>
    <d v="1899-12-30T15:15:05"/>
    <d v="1899-12-30T07:14:27"/>
    <d v="1899-12-30T07:12:00"/>
    <d v="1899-12-30T00:02:27"/>
    <m/>
    <n v="0.13284996355545323"/>
    <n v="1.0056712962962964"/>
  </r>
  <r>
    <x v="12"/>
    <x v="0"/>
    <x v="0"/>
    <x v="14"/>
    <x v="0"/>
    <d v="1899-12-30T01:04:38"/>
    <d v="1899-12-30T10:20:32"/>
    <d v="1899-12-30T18:00:39"/>
    <d v="1899-12-30T07:40:07"/>
    <d v="1899-12-30T07:12:00"/>
    <d v="1899-12-30T00:28:07"/>
    <m/>
    <n v="0.14047161951678924"/>
    <n v="1.0650848765432097"/>
  </r>
  <r>
    <x v="12"/>
    <x v="0"/>
    <x v="0"/>
    <x v="15"/>
    <x v="0"/>
    <d v="1899-12-30T01:03:42"/>
    <d v="1899-12-30T10:11:36"/>
    <d v="1899-12-30T18:00:18"/>
    <d v="1899-12-30T07:48:42"/>
    <d v="1899-12-30T07:12:00"/>
    <d v="1899-12-30T00:36:42"/>
    <m/>
    <n v="0.13590783016855129"/>
    <n v="1.0849537037037038"/>
  </r>
  <r>
    <x v="12"/>
    <x v="0"/>
    <x v="0"/>
    <x v="16"/>
    <x v="0"/>
    <d v="1899-12-30T01:08:42"/>
    <d v="1899-12-30T08:00:41"/>
    <d v="1899-12-30T15:13:04"/>
    <d v="1899-12-30T07:12:23"/>
    <d v="1899-12-30T07:12:00"/>
    <d v="1899-12-30T00:00:23"/>
    <m/>
    <n v="0.15888679027097866"/>
    <n v="1.0008873456790126"/>
  </r>
  <r>
    <x v="12"/>
    <x v="0"/>
    <x v="0"/>
    <x v="17"/>
    <x v="2"/>
    <d v="1899-12-30T00:00:00"/>
    <d v="1899-12-30T08:13:18"/>
    <d v="1899-12-30T15:38:48"/>
    <d v="1899-12-30T07:25:30"/>
    <d v="1899-12-30T07:12:00"/>
    <d v="1899-12-30T00:13:30"/>
    <m/>
    <n v="0"/>
    <n v="1.03125"/>
  </r>
  <r>
    <x v="12"/>
    <x v="0"/>
    <x v="0"/>
    <x v="18"/>
    <x v="2"/>
    <d v="1899-12-30T00:00:00"/>
    <d v="1899-12-30T08:00:36"/>
    <d v="1899-12-30T15:14:09"/>
    <d v="1899-12-30T07:13:33"/>
    <d v="1899-12-30T07:12:00"/>
    <d v="1899-12-30T00:01:33"/>
    <m/>
    <n v="0"/>
    <n v="1.0035879629629629"/>
  </r>
  <r>
    <x v="13"/>
    <x v="0"/>
    <x v="0"/>
    <x v="0"/>
    <x v="0"/>
    <d v="1899-12-30T00:59:14"/>
    <d v="1899-12-30T08:00:25"/>
    <d v="1899-12-30T15:14:44"/>
    <d v="1899-12-30T07:14:19"/>
    <d v="1899-12-30T07:12:00"/>
    <d v="1899-12-30T00:02:19"/>
    <m/>
    <n v="0.13638282359261678"/>
    <n v="1.0053626543209877"/>
  </r>
  <r>
    <x v="13"/>
    <x v="0"/>
    <x v="0"/>
    <x v="1"/>
    <x v="1"/>
    <d v="1899-12-30T00:46:50"/>
    <d v="1899-12-30T12:28:17"/>
    <d v="1899-12-30T18:00:36"/>
    <d v="1899-12-30T05:32:19"/>
    <d v="1899-12-30T06:00:00"/>
    <m/>
    <d v="1899-12-30T00:27:41"/>
    <n v="0.14092983599979941"/>
    <n v="0.92310185185185167"/>
  </r>
  <r>
    <x v="13"/>
    <x v="0"/>
    <x v="0"/>
    <x v="2"/>
    <x v="2"/>
    <d v="1899-12-30T00:00:00"/>
    <d v="1899-12-30T08:02:55"/>
    <d v="1899-12-30T15:13:43"/>
    <d v="1899-12-30T07:10:48"/>
    <d v="1899-12-30T07:12:00"/>
    <m/>
    <d v="1899-12-30T00:01:12"/>
    <n v="0"/>
    <n v="0.99722222222222234"/>
  </r>
  <r>
    <x v="13"/>
    <x v="0"/>
    <x v="0"/>
    <x v="3"/>
    <x v="1"/>
    <d v="1899-12-30T01:40:59"/>
    <d v="1899-12-30T08:13:14"/>
    <d v="1899-12-30T15:15:38"/>
    <d v="1899-12-30T07:02:24"/>
    <d v="1899-12-30T07:12:00"/>
    <m/>
    <d v="1899-12-30T00:09:36"/>
    <n v="0.23907039141414144"/>
    <n v="0.97777777777777763"/>
  </r>
  <r>
    <x v="13"/>
    <x v="0"/>
    <x v="0"/>
    <x v="4"/>
    <x v="3"/>
    <d v="1899-12-30T01:11:25"/>
    <d v="1899-12-30T08:03:36"/>
    <d v="1899-12-30T15:12:28"/>
    <d v="1899-12-30T07:08:52"/>
    <d v="1899-12-30T07:12:00"/>
    <m/>
    <d v="1899-12-30T00:03:08"/>
    <n v="0.16652417223690347"/>
    <n v="0.99274691358024691"/>
  </r>
  <r>
    <x v="13"/>
    <x v="0"/>
    <x v="0"/>
    <x v="5"/>
    <x v="1"/>
    <d v="1899-12-30T01:28:24"/>
    <d v="1899-12-30T08:02:43"/>
    <d v="1899-12-30T15:13:14"/>
    <d v="1899-12-30T07:10:31"/>
    <d v="1899-12-30T07:12:00"/>
    <m/>
    <d v="1899-12-30T00:01:29"/>
    <n v="0.20533467539003522"/>
    <n v="0.9965663580246914"/>
  </r>
  <r>
    <x v="13"/>
    <x v="0"/>
    <x v="0"/>
    <x v="6"/>
    <x v="3"/>
    <d v="1899-12-30T00:57:02"/>
    <d v="1899-12-30T10:01:08"/>
    <d v="1899-12-30T17:12:59"/>
    <d v="1899-12-30T07:11:51"/>
    <d v="1899-12-30T07:12:00"/>
    <m/>
    <d v="1899-12-30T00:00:09"/>
    <n v="0.13206746169580486"/>
    <n v="0.99965277777777795"/>
  </r>
  <r>
    <x v="13"/>
    <x v="0"/>
    <x v="0"/>
    <x v="7"/>
    <x v="0"/>
    <d v="1899-12-30T00:53:58"/>
    <d v="1899-12-30T08:00:34"/>
    <d v="1899-12-30T16:00:47"/>
    <d v="1899-12-30T08:00:13"/>
    <d v="1899-12-30T07:12:00"/>
    <d v="1899-12-30T00:48:13"/>
    <m/>
    <n v="0.11237982854961304"/>
    <n v="1.1116126543209877"/>
  </r>
  <r>
    <x v="13"/>
    <x v="0"/>
    <x v="0"/>
    <x v="8"/>
    <x v="1"/>
    <d v="1899-12-30T01:39:52"/>
    <d v="1899-12-30T09:59:09"/>
    <d v="1899-12-30T18:00:25"/>
    <d v="1899-12-30T08:01:16"/>
    <d v="1899-12-30T07:12:00"/>
    <d v="1899-12-30T00:49:16"/>
    <m/>
    <n v="0.207507965092118"/>
    <n v="1.1140432098765434"/>
  </r>
  <r>
    <x v="13"/>
    <x v="0"/>
    <x v="0"/>
    <x v="9"/>
    <x v="3"/>
    <d v="1899-12-30T00:54:39"/>
    <d v="1899-12-30T10:30:56"/>
    <d v="1899-12-30T18:01:54"/>
    <d v="1899-12-30T07:30:58"/>
    <d v="1899-12-30T07:12:00"/>
    <d v="1899-12-30T00:18:58"/>
    <m/>
    <n v="0.12118412299504769"/>
    <n v="1.0439043209876542"/>
  </r>
  <r>
    <x v="13"/>
    <x v="0"/>
    <x v="0"/>
    <x v="10"/>
    <x v="3"/>
    <d v="1899-12-30T01:12:37"/>
    <d v="1899-12-30T08:00:00"/>
    <d v="1899-12-30T15:13:13"/>
    <d v="1899-12-30T07:13:13"/>
    <d v="1899-12-30T07:12:00"/>
    <d v="1899-12-30T00:01:13"/>
    <m/>
    <n v="0.16762205209094758"/>
    <n v="1.0028163580246914"/>
  </r>
  <r>
    <x v="13"/>
    <x v="0"/>
    <x v="0"/>
    <x v="11"/>
    <x v="4"/>
    <d v="1899-12-30T01:03:44"/>
    <d v="1899-12-30T08:01:05"/>
    <d v="1899-12-30T15:14:54"/>
    <d v="1899-12-30T07:13:49"/>
    <d v="1899-12-30T07:12:00"/>
    <d v="1899-12-30T00:01:49"/>
    <m/>
    <n v="0.14691305851166012"/>
    <n v="1.00420524691358"/>
  </r>
  <r>
    <x v="13"/>
    <x v="0"/>
    <x v="0"/>
    <x v="12"/>
    <x v="2"/>
    <d v="1899-12-30T00:56:48"/>
    <d v="1899-12-30T08:00:47"/>
    <d v="1899-12-30T15:12:55"/>
    <d v="1899-12-30T07:12:08"/>
    <d v="1899-12-30T07:12:00"/>
    <d v="1899-12-30T00:00:08"/>
    <m/>
    <n v="0.13144091329836469"/>
    <n v="1.0003086419753089"/>
  </r>
  <r>
    <x v="13"/>
    <x v="0"/>
    <x v="0"/>
    <x v="13"/>
    <x v="1"/>
    <d v="1899-12-30T01:25:54"/>
    <d v="1899-12-30T08:00:35"/>
    <d v="1899-12-30T15:12:53"/>
    <d v="1899-12-30T07:12:18"/>
    <d v="1899-12-30T07:12:00"/>
    <d v="1899-12-30T00:00:18"/>
    <m/>
    <n v="0.19870460328475598"/>
    <n v="1.0006944444444443"/>
  </r>
  <r>
    <x v="13"/>
    <x v="0"/>
    <x v="0"/>
    <x v="14"/>
    <x v="0"/>
    <d v="1899-12-30T01:02:32"/>
    <d v="1899-12-30T10:06:18"/>
    <d v="1899-12-30T18:01:04"/>
    <d v="1899-12-30T07:54:46"/>
    <d v="1899-12-30T07:12:00"/>
    <d v="1899-12-30T00:42:46"/>
    <m/>
    <n v="0.13171382433476092"/>
    <n v="1.0989969135802469"/>
  </r>
  <r>
    <x v="13"/>
    <x v="0"/>
    <x v="0"/>
    <x v="15"/>
    <x v="0"/>
    <d v="1899-12-30T01:04:04"/>
    <d v="1899-12-30T10:14:06"/>
    <d v="1899-12-30T18:00:38"/>
    <d v="1899-12-30T07:46:32"/>
    <d v="1899-12-30T07:12:00"/>
    <d v="1899-12-30T00:34:32"/>
    <m/>
    <n v="0.13732494998571021"/>
    <n v="1.0799382716049384"/>
  </r>
  <r>
    <x v="13"/>
    <x v="0"/>
    <x v="0"/>
    <x v="16"/>
    <x v="0"/>
    <d v="1899-12-30T01:03:21"/>
    <d v="1899-12-30T08:00:57"/>
    <d v="1899-12-30T15:14:44"/>
    <d v="1899-12-30T07:13:47"/>
    <d v="1899-12-30T07:12:00"/>
    <d v="1899-12-30T00:01:47"/>
    <m/>
    <n v="0.14604065009413303"/>
    <n v="1.004128086419753"/>
  </r>
  <r>
    <x v="13"/>
    <x v="0"/>
    <x v="0"/>
    <x v="17"/>
    <x v="2"/>
    <d v="1899-12-30T00:00:00"/>
    <d v="1899-12-30T08:27:38"/>
    <d v="1899-12-30T16:09:11"/>
    <d v="1899-12-30T07:41:33"/>
    <d v="1899-12-30T07:12:00"/>
    <d v="1899-12-30T00:29:33"/>
    <m/>
    <n v="0"/>
    <n v="1.0684027777777778"/>
  </r>
  <r>
    <x v="13"/>
    <x v="0"/>
    <x v="0"/>
    <x v="18"/>
    <x v="2"/>
    <d v="1899-12-30T00:00:00"/>
    <d v="1899-12-30T08:01:25"/>
    <d v="1899-12-30T15:12:00"/>
    <d v="1899-12-30T07:10:35"/>
    <d v="1899-12-30T07:12:00"/>
    <m/>
    <d v="1899-12-30T00:01:25"/>
    <n v="0"/>
    <n v="0.99672067901234562"/>
  </r>
  <r>
    <x v="14"/>
    <x v="0"/>
    <x v="0"/>
    <x v="0"/>
    <x v="0"/>
    <d v="1899-12-30T00:48:56"/>
    <d v="1899-12-30T08:01:04"/>
    <d v="1899-12-30T16:10:14"/>
    <d v="1899-12-30T08:09:10"/>
    <d v="1899-12-30T07:12:00"/>
    <d v="1899-12-30T00:57:10"/>
    <m/>
    <n v="0.10003407155025554"/>
    <n v="1.1323302469135803"/>
  </r>
  <r>
    <x v="14"/>
    <x v="0"/>
    <x v="0"/>
    <x v="2"/>
    <x v="2"/>
    <d v="1899-12-30T00:00:00"/>
    <d v="1899-12-30T08:06:59"/>
    <d v="1899-12-30T15:15:46"/>
    <d v="1899-12-30T07:08:47"/>
    <d v="1899-12-30T07:12:00"/>
    <m/>
    <d v="1899-12-30T00:03:13"/>
    <n v="0"/>
    <n v="0.99255401234567908"/>
  </r>
  <r>
    <x v="14"/>
    <x v="0"/>
    <x v="0"/>
    <x v="3"/>
    <x v="1"/>
    <d v="1899-12-30T01:02:09"/>
    <d v="1899-12-30T08:02:21"/>
    <d v="1899-12-30T15:59:35"/>
    <d v="1899-12-30T07:57:14"/>
    <d v="1899-12-30T07:12:00"/>
    <d v="1899-12-30T00:45:14"/>
    <m/>
    <n v="0.13022979674512819"/>
    <n v="1.1047067901234566"/>
  </r>
  <r>
    <x v="14"/>
    <x v="0"/>
    <x v="0"/>
    <x v="4"/>
    <x v="3"/>
    <d v="1899-12-30T00:31:03"/>
    <d v="1899-12-30T08:00:51"/>
    <d v="1899-12-30T11:35:08"/>
    <d v="1899-12-30T03:34:17"/>
    <d v="1899-12-30T07:12:00"/>
    <m/>
    <d v="1899-12-30T03:37:43"/>
    <n v="0.14490161001788909"/>
    <n v="0.49602623456790118"/>
  </r>
  <r>
    <x v="14"/>
    <x v="0"/>
    <x v="0"/>
    <x v="6"/>
    <x v="3"/>
    <d v="1899-12-30T01:00:08"/>
    <d v="1899-12-30T11:01:25"/>
    <d v="1899-12-30T17:23:09"/>
    <d v="1899-12-30T06:21:44"/>
    <d v="1899-12-30T07:12:00"/>
    <m/>
    <d v="1899-12-30T00:50:16"/>
    <n v="0.15752706950750961"/>
    <n v="0.88364197530864208"/>
  </r>
  <r>
    <x v="14"/>
    <x v="0"/>
    <x v="0"/>
    <x v="7"/>
    <x v="0"/>
    <d v="1899-12-30T00:53:54"/>
    <d v="1899-12-30T08:00:34"/>
    <d v="1899-12-30T15:51:06"/>
    <d v="1899-12-30T07:50:32"/>
    <d v="1899-12-30T07:12:00"/>
    <d v="1899-12-30T00:38:32"/>
    <m/>
    <n v="0.11455086426749789"/>
    <n v="1.0891975308641975"/>
  </r>
  <r>
    <x v="14"/>
    <x v="0"/>
    <x v="0"/>
    <x v="8"/>
    <x v="1"/>
    <d v="1899-12-30T00:06:09"/>
    <d v="1899-12-30T09:42:37"/>
    <d v="1899-12-30T11:22:23"/>
    <d v="1899-12-30T01:39:46"/>
    <d v="1899-12-30T07:12:00"/>
    <m/>
    <d v="1899-12-30T05:32:14"/>
    <n v="6.1643835616438332E-2"/>
    <n v="0.23094135802469146"/>
  </r>
  <r>
    <x v="14"/>
    <x v="0"/>
    <x v="0"/>
    <x v="9"/>
    <x v="3"/>
    <d v="1899-12-30T00:08:49"/>
    <d v="1899-12-30T09:47:42"/>
    <d v="1899-12-30T11:00:18"/>
    <d v="1899-12-30T01:12:36"/>
    <d v="1899-12-30T07:12:00"/>
    <m/>
    <d v="1899-12-30T05:59:24"/>
    <n v="0.12144168962350781"/>
    <n v="0.16805555555555557"/>
  </r>
  <r>
    <x v="14"/>
    <x v="0"/>
    <x v="0"/>
    <x v="10"/>
    <x v="3"/>
    <d v="1899-12-30T01:02:03"/>
    <d v="1899-12-30T08:00:00"/>
    <d v="1899-12-30T17:14:38"/>
    <d v="1899-12-30T09:14:38"/>
    <d v="1899-12-30T07:12:00"/>
    <d v="1899-12-30T02:02:38"/>
    <m/>
    <n v="0.11187571368471662"/>
    <n v="1.2838734567901235"/>
  </r>
  <r>
    <x v="14"/>
    <x v="0"/>
    <x v="0"/>
    <x v="11"/>
    <x v="4"/>
    <d v="1899-12-30T00:36:11"/>
    <d v="1899-12-30T08:00:51"/>
    <d v="1899-12-30T17:14:58"/>
    <d v="1899-12-30T09:14:07"/>
    <d v="1899-12-30T07:12:00"/>
    <d v="1899-12-30T02:02:07"/>
    <m/>
    <n v="6.5299124733058628E-2"/>
    <n v="1.2826774691358023"/>
  </r>
  <r>
    <x v="14"/>
    <x v="0"/>
    <x v="0"/>
    <x v="12"/>
    <x v="2"/>
    <d v="1899-12-30T00:15:04"/>
    <d v="1899-12-30T08:00:52"/>
    <d v="1899-12-30T11:26:17"/>
    <d v="1899-12-30T03:25:25"/>
    <d v="1899-12-30T07:12:00"/>
    <m/>
    <d v="1899-12-30T03:46:35"/>
    <n v="7.3346855983772816E-2"/>
    <n v="0.47550154320987659"/>
  </r>
  <r>
    <x v="14"/>
    <x v="0"/>
    <x v="0"/>
    <x v="13"/>
    <x v="1"/>
    <d v="1899-12-30T01:04:51"/>
    <d v="1899-12-30T08:01:04"/>
    <d v="1899-12-30T17:15:00"/>
    <d v="1899-12-30T09:13:56"/>
    <d v="1899-12-30T07:12:00"/>
    <d v="1899-12-30T02:01:56"/>
    <m/>
    <n v="0.11707184980142014"/>
    <n v="1.2822530864197532"/>
  </r>
  <r>
    <x v="14"/>
    <x v="0"/>
    <x v="0"/>
    <x v="14"/>
    <x v="0"/>
    <d v="1899-12-30T00:45:35"/>
    <d v="1899-12-30T10:43:04"/>
    <d v="1899-12-30T16:52:39"/>
    <d v="1899-12-30T06:09:35"/>
    <d v="1899-12-30T07:12:00"/>
    <m/>
    <d v="1899-12-30T01:02:25"/>
    <n v="0.12333709131905299"/>
    <n v="0.85551697530864212"/>
  </r>
  <r>
    <x v="14"/>
    <x v="0"/>
    <x v="0"/>
    <x v="15"/>
    <x v="0"/>
    <d v="1899-12-30T00:58:39"/>
    <d v="1899-12-30T10:21:01"/>
    <d v="1899-12-30T17:23:19"/>
    <d v="1899-12-30T07:02:18"/>
    <d v="1899-12-30T07:12:00"/>
    <m/>
    <d v="1899-12-30T00:09:42"/>
    <n v="0.13888231115320862"/>
    <n v="0.9775462962962963"/>
  </r>
  <r>
    <x v="14"/>
    <x v="0"/>
    <x v="0"/>
    <x v="17"/>
    <x v="2"/>
    <d v="1899-12-30T00:00:00"/>
    <d v="1899-12-30T08:15:37"/>
    <d v="1899-12-30T15:52:42"/>
    <d v="1899-12-30T07:37:05"/>
    <d v="1899-12-30T07:12:00"/>
    <d v="1899-12-30T00:25:05"/>
    <m/>
    <n v="0"/>
    <n v="1.0580632716049383"/>
  </r>
  <r>
    <x v="14"/>
    <x v="0"/>
    <x v="0"/>
    <x v="18"/>
    <x v="2"/>
    <d v="1899-12-30T00:00:00"/>
    <d v="1899-12-30T08:11:17"/>
    <d v="1899-12-30T15:12:00"/>
    <d v="1899-12-30T07:00:43"/>
    <d v="1899-12-30T07:12:00"/>
    <m/>
    <d v="1899-12-30T00:11:17"/>
    <n v="0"/>
    <n v="0.97388117283950604"/>
  </r>
  <r>
    <x v="15"/>
    <x v="0"/>
    <x v="0"/>
    <x v="0"/>
    <x v="0"/>
    <d v="1899-12-30T00:50:18"/>
    <d v="1899-12-30T08:01:14"/>
    <d v="1899-12-30T15:48:05"/>
    <d v="1899-12-30T07:46:51"/>
    <d v="1899-12-30T07:12:00"/>
    <d v="1899-12-30T00:34:51"/>
    <m/>
    <n v="0.10774338652672162"/>
    <n v="1.0806712962962965"/>
  </r>
  <r>
    <x v="15"/>
    <x v="0"/>
    <x v="0"/>
    <x v="2"/>
    <x v="2"/>
    <d v="1899-12-30T00:30:25"/>
    <d v="1899-12-30T08:18:40"/>
    <d v="1899-12-30T15:13:17"/>
    <d v="1899-12-30T06:54:37"/>
    <d v="1899-12-30T07:12:00"/>
    <m/>
    <d v="1899-12-30T00:17:23"/>
    <n v="7.3360935804156438E-2"/>
    <n v="0.95976080246913609"/>
  </r>
  <r>
    <x v="15"/>
    <x v="0"/>
    <x v="0"/>
    <x v="6"/>
    <x v="3"/>
    <d v="1899-12-30T00:55:03"/>
    <d v="1899-12-30T10:58:22"/>
    <d v="1899-12-30T18:05:06"/>
    <d v="1899-12-30T07:06:44"/>
    <d v="1899-12-30T07:12:00"/>
    <m/>
    <d v="1899-12-30T00:05:16"/>
    <n v="0.12900328073738479"/>
    <n v="0.98780864197530871"/>
  </r>
  <r>
    <x v="15"/>
    <x v="0"/>
    <x v="0"/>
    <x v="7"/>
    <x v="0"/>
    <d v="1899-12-30T00:52:07"/>
    <d v="1899-12-30T08:00:34"/>
    <d v="1899-12-30T16:00:30"/>
    <d v="1899-12-30T07:59:56"/>
    <d v="1899-12-30T07:12:00"/>
    <d v="1899-12-30T00:47:56"/>
    <m/>
    <n v="0.10859147103764412"/>
    <n v="1.1109567901234569"/>
  </r>
  <r>
    <x v="15"/>
    <x v="0"/>
    <x v="0"/>
    <x v="19"/>
    <x v="2"/>
    <d v="1899-12-30T00:28:27"/>
    <d v="1899-12-30T11:13:32"/>
    <d v="1899-12-30T18:04:45"/>
    <d v="1899-12-30T06:51:13"/>
    <d v="1899-12-30T07:12:00"/>
    <m/>
    <d v="1899-12-30T00:20:47"/>
    <n v="6.9184939002148102E-2"/>
    <n v="0.95189043209876534"/>
  </r>
  <r>
    <x v="15"/>
    <x v="0"/>
    <x v="0"/>
    <x v="10"/>
    <x v="3"/>
    <d v="1899-12-30T01:22:27"/>
    <d v="1899-12-30T08:00:17"/>
    <d v="1899-12-30T15:42:27"/>
    <d v="1899-12-30T07:42:10"/>
    <d v="1899-12-30T07:12:00"/>
    <d v="1899-12-30T00:30:10"/>
    <m/>
    <n v="0.17839884601514608"/>
    <n v="1.0698302469135801"/>
  </r>
  <r>
    <x v="15"/>
    <x v="0"/>
    <x v="0"/>
    <x v="11"/>
    <x v="4"/>
    <d v="1899-12-30T00:19:45"/>
    <d v="1899-12-30T08:00:10"/>
    <d v="1899-12-30T13:13:03"/>
    <d v="1899-12-30T05:12:53"/>
    <d v="1899-12-30T07:12:00"/>
    <m/>
    <d v="1899-12-30T01:59:07"/>
    <n v="6.3122569647898571E-2"/>
    <n v="0.72426697530864215"/>
  </r>
  <r>
    <x v="15"/>
    <x v="0"/>
    <x v="0"/>
    <x v="13"/>
    <x v="1"/>
    <d v="1899-12-30T00:00:00"/>
    <d v="1899-12-30T09:10:00"/>
    <d v="1899-12-30T16:23:00"/>
    <d v="1899-12-30T07:13:00"/>
    <d v="1899-12-30T07:12:00"/>
    <d v="1899-12-30T00:01:00"/>
    <m/>
    <n v="0"/>
    <n v="1.0023148148148151"/>
  </r>
  <r>
    <x v="15"/>
    <x v="0"/>
    <x v="0"/>
    <x v="14"/>
    <x v="0"/>
    <d v="1899-12-30T00:56:58"/>
    <d v="1899-12-30T10:09:16"/>
    <d v="1899-12-30T18:00:23"/>
    <d v="1899-12-30T07:51:07"/>
    <d v="1899-12-30T07:12:00"/>
    <d v="1899-12-30T00:39:07"/>
    <m/>
    <n v="0.12091838539639863"/>
    <n v="1.0905478395061727"/>
  </r>
  <r>
    <x v="15"/>
    <x v="0"/>
    <x v="0"/>
    <x v="15"/>
    <x v="0"/>
    <d v="1899-12-30T01:01:44"/>
    <d v="1899-12-30T10:09:02"/>
    <d v="1899-12-30T18:00:22"/>
    <d v="1899-12-30T07:51:20"/>
    <d v="1899-12-30T07:12:00"/>
    <d v="1899-12-30T00:39:20"/>
    <m/>
    <n v="0.13097595473833096"/>
    <n v="1.0910493827160495"/>
  </r>
  <r>
    <x v="15"/>
    <x v="0"/>
    <x v="0"/>
    <x v="16"/>
    <x v="0"/>
    <d v="1899-12-30T01:20:53"/>
    <d v="1899-12-30T08:11:02"/>
    <d v="1899-12-30T16:12:22"/>
    <d v="1899-12-30T08:01:20"/>
    <d v="1899-12-30T07:12:00"/>
    <d v="1899-12-30T00:49:20"/>
    <m/>
    <n v="0.16804016620498613"/>
    <n v="1.1141975308641978"/>
  </r>
  <r>
    <x v="15"/>
    <x v="0"/>
    <x v="0"/>
    <x v="17"/>
    <x v="2"/>
    <d v="1899-12-30T00:47:13"/>
    <d v="1899-12-30T10:55:12"/>
    <d v="1899-12-30T18:06:03"/>
    <d v="1899-12-30T07:10:51"/>
    <d v="1899-12-30T07:12:00"/>
    <m/>
    <d v="1899-12-30T00:01:09"/>
    <n v="0.109589571003056"/>
    <n v="0.99733796296296295"/>
  </r>
  <r>
    <x v="15"/>
    <x v="0"/>
    <x v="0"/>
    <x v="18"/>
    <x v="2"/>
    <d v="1899-12-30T00:39:40"/>
    <d v="1899-12-30T08:00:04"/>
    <d v="1899-12-30T15:12:30"/>
    <d v="1899-12-30T07:12:26"/>
    <d v="1899-12-30T07:12:00"/>
    <d v="1899-12-30T00:00:26"/>
    <m/>
    <n v="9.1728975564634246E-2"/>
    <n v="1.0010030864197532"/>
  </r>
  <r>
    <x v="16"/>
    <x v="0"/>
    <x v="0"/>
    <x v="0"/>
    <x v="0"/>
    <d v="1899-12-30T00:40:44"/>
    <d v="1899-12-30T08:00:22"/>
    <d v="1899-12-30T15:12:14"/>
    <d v="1899-12-30T07:11:52"/>
    <d v="1899-12-30T07:12:00"/>
    <m/>
    <d v="1899-12-30T00:00:08"/>
    <n v="9.4319234331583804E-2"/>
    <n v="0.99969135802469156"/>
  </r>
  <r>
    <x v="16"/>
    <x v="0"/>
    <x v="0"/>
    <x v="2"/>
    <x v="2"/>
    <d v="1899-12-30T00:30:03"/>
    <d v="1899-12-30T08:00:09"/>
    <d v="1899-12-30T15:12:57"/>
    <d v="1899-12-30T07:12:48"/>
    <d v="1899-12-30T07:12:00"/>
    <d v="1899-12-30T00:00:48"/>
    <m/>
    <n v="6.9431608133086881E-2"/>
    <n v="1.0018518518518518"/>
  </r>
  <r>
    <x v="16"/>
    <x v="0"/>
    <x v="0"/>
    <x v="3"/>
    <x v="1"/>
    <d v="1899-12-30T00:00:00"/>
    <d v="1899-12-30T08:16:00"/>
    <d v="1899-12-30T15:12:00"/>
    <d v="1899-12-30T06:56:00"/>
    <d v="1899-12-30T07:12:00"/>
    <m/>
    <d v="1899-12-30T00:16:00"/>
    <n v="0"/>
    <n v="0.96296296296296291"/>
  </r>
  <r>
    <x v="16"/>
    <x v="0"/>
    <x v="0"/>
    <x v="6"/>
    <x v="3"/>
    <d v="1899-12-30T01:02:04"/>
    <d v="1899-12-30T10:08:20"/>
    <d v="1899-12-30T18:00:13"/>
    <d v="1899-12-30T07:51:53"/>
    <d v="1899-12-30T07:12:00"/>
    <d v="1899-12-30T00:39:53"/>
    <m/>
    <n v="0.1315296860099601"/>
    <n v="1.0923225308641975"/>
  </r>
  <r>
    <x v="16"/>
    <x v="0"/>
    <x v="0"/>
    <x v="7"/>
    <x v="0"/>
    <d v="1899-12-30T01:00:15"/>
    <d v="1899-12-30T08:00:34"/>
    <d v="1899-12-30T15:12:56"/>
    <d v="1899-12-30T07:12:22"/>
    <d v="1899-12-30T07:12:00"/>
    <d v="1899-12-30T00:00:22"/>
    <m/>
    <n v="0.13934931770873488"/>
    <n v="1.0008487654320988"/>
  </r>
  <r>
    <x v="16"/>
    <x v="0"/>
    <x v="0"/>
    <x v="19"/>
    <x v="2"/>
    <d v="1899-12-30T00:44:16"/>
    <d v="1899-12-30T10:48:34"/>
    <d v="1899-12-30T18:00:19"/>
    <d v="1899-12-30T07:11:45"/>
    <d v="1899-12-30T07:12:00"/>
    <m/>
    <d v="1899-12-30T00:00:15"/>
    <n v="0.10252846940745029"/>
    <n v="0.99942129629629639"/>
  </r>
  <r>
    <x v="16"/>
    <x v="0"/>
    <x v="0"/>
    <x v="10"/>
    <x v="3"/>
    <d v="1899-12-30T01:13:45"/>
    <d v="1899-12-30T08:17:50"/>
    <d v="1899-12-30T15:15:17"/>
    <d v="1899-12-30T06:57:27"/>
    <d v="1899-12-30T07:12:00"/>
    <m/>
    <d v="1899-12-30T00:14:33"/>
    <n v="0.17666786441489998"/>
    <n v="0.96631944444444451"/>
  </r>
  <r>
    <x v="16"/>
    <x v="0"/>
    <x v="0"/>
    <x v="11"/>
    <x v="4"/>
    <d v="1899-12-30T00:53:48"/>
    <d v="1899-12-30T08:00:09"/>
    <d v="1899-12-30T15:13:20"/>
    <d v="1899-12-30T07:13:11"/>
    <d v="1899-12-30T07:12:00"/>
    <d v="1899-12-30T00:01:11"/>
    <m/>
    <n v="0.12419683736678078"/>
    <n v="1.0027391975308644"/>
  </r>
  <r>
    <x v="16"/>
    <x v="0"/>
    <x v="0"/>
    <x v="13"/>
    <x v="1"/>
    <d v="1899-12-30T00:00:00"/>
    <d v="1899-12-30T08:00:09"/>
    <d v="1899-12-30T15:12:00"/>
    <d v="1899-12-30T07:11:51"/>
    <d v="1899-12-30T07:12:00"/>
    <m/>
    <d v="1899-12-30T00:00:09"/>
    <n v="0"/>
    <n v="0.99965277777777772"/>
  </r>
  <r>
    <x v="16"/>
    <x v="0"/>
    <x v="0"/>
    <x v="14"/>
    <x v="0"/>
    <d v="1899-12-30T01:03:08"/>
    <d v="1899-12-30T10:49:16"/>
    <d v="1899-12-30T18:00:27"/>
    <d v="1899-12-30T07:11:11"/>
    <d v="1899-12-30T07:12:00"/>
    <m/>
    <d v="1899-12-30T00:00:49"/>
    <n v="0.14641877005140888"/>
    <n v="0.99810956790123473"/>
  </r>
  <r>
    <x v="16"/>
    <x v="0"/>
    <x v="0"/>
    <x v="15"/>
    <x v="0"/>
    <d v="1899-12-30T01:03:33"/>
    <d v="1899-12-30T09:51:48"/>
    <d v="1899-12-30T18:00:13"/>
    <d v="1899-12-30T08:08:25"/>
    <d v="1899-12-30T07:12:00"/>
    <d v="1899-12-30T00:56:25"/>
    <m/>
    <n v="0.13011431496331685"/>
    <n v="1.1305941358024691"/>
  </r>
  <r>
    <x v="16"/>
    <x v="0"/>
    <x v="0"/>
    <x v="16"/>
    <x v="0"/>
    <d v="1899-12-30T01:17:35"/>
    <d v="1899-12-30T08:01:31"/>
    <d v="1899-12-30T15:36:07"/>
    <d v="1899-12-30T07:34:36"/>
    <d v="1899-12-30T07:12:00"/>
    <d v="1899-12-30T00:22:36"/>
    <m/>
    <n v="0.17066285379087842"/>
    <n v="1.0523148148148149"/>
  </r>
  <r>
    <x v="16"/>
    <x v="0"/>
    <x v="0"/>
    <x v="17"/>
    <x v="2"/>
    <d v="1899-12-30T01:03:44"/>
    <d v="1899-12-30T10:51:55"/>
    <d v="1899-12-30T18:01:53"/>
    <d v="1899-12-30T07:09:58"/>
    <d v="1899-12-30T07:12:00"/>
    <m/>
    <d v="1899-12-30T00:02:02"/>
    <n v="0.14822854484843787"/>
    <n v="0.99529320987654324"/>
  </r>
  <r>
    <x v="16"/>
    <x v="0"/>
    <x v="0"/>
    <x v="18"/>
    <x v="2"/>
    <d v="1899-12-30T00:20:56"/>
    <d v="1899-12-30T08:00:09"/>
    <d v="1899-12-30T15:14:28"/>
    <d v="1899-12-30T07:14:19"/>
    <d v="1899-12-30T07:12:00"/>
    <d v="1899-12-30T00:02:19"/>
    <m/>
    <n v="4.8198319198741325E-2"/>
    <n v="1.0053626543209877"/>
  </r>
  <r>
    <x v="17"/>
    <x v="0"/>
    <x v="0"/>
    <x v="2"/>
    <x v="2"/>
    <d v="1899-12-30T00:00:00"/>
    <d v="1899-12-30T08:13:29"/>
    <d v="1899-12-30T15:12:00"/>
    <d v="1899-12-30T06:58:31"/>
    <d v="1899-12-30T07:12:00"/>
    <m/>
    <d v="1899-12-30T00:13:29"/>
    <n v="0"/>
    <n v="0.96878858024691361"/>
  </r>
  <r>
    <x v="17"/>
    <x v="0"/>
    <x v="0"/>
    <x v="3"/>
    <x v="1"/>
    <d v="1899-12-30T00:23:44"/>
    <d v="1899-12-30T08:14:43"/>
    <d v="1899-12-30T15:12:00"/>
    <d v="1899-12-30T06:57:17"/>
    <d v="1899-12-30T07:12:00"/>
    <m/>
    <d v="1899-12-30T00:14:43"/>
    <n v="5.6875823780804413E-2"/>
    <n v="0.96593364197530862"/>
  </r>
  <r>
    <x v="17"/>
    <x v="0"/>
    <x v="0"/>
    <x v="5"/>
    <x v="1"/>
    <d v="1899-12-30T00:00:00"/>
    <d v="1899-12-30T08:14:05"/>
    <d v="1899-12-30T15:12:00"/>
    <d v="1899-12-30T06:57:55"/>
    <d v="1899-12-30T07:12:00"/>
    <m/>
    <d v="1899-12-30T00:14:05"/>
    <n v="0"/>
    <n v="0.96739969135802462"/>
  </r>
  <r>
    <x v="17"/>
    <x v="0"/>
    <x v="0"/>
    <x v="6"/>
    <x v="3"/>
    <d v="1899-12-30T00:00:00"/>
    <d v="1899-12-30T10:44:45"/>
    <d v="1899-12-30T15:12:00"/>
    <d v="1899-12-30T04:27:15"/>
    <d v="1899-12-30T07:12:00"/>
    <m/>
    <d v="1899-12-30T02:44:45"/>
    <n v="0"/>
    <n v="0.61863425925925919"/>
  </r>
  <r>
    <x v="17"/>
    <x v="0"/>
    <x v="0"/>
    <x v="7"/>
    <x v="0"/>
    <d v="1899-12-30T00:27:02"/>
    <d v="1899-12-30T08:00:34"/>
    <d v="1899-12-30T15:12:00"/>
    <d v="1899-12-30T07:11:26"/>
    <d v="1899-12-30T07:12:00"/>
    <m/>
    <d v="1899-12-30T00:00:34"/>
    <n v="6.2659352545777647E-2"/>
    <n v="0.99868827160493823"/>
  </r>
  <r>
    <x v="17"/>
    <x v="0"/>
    <x v="0"/>
    <x v="19"/>
    <x v="2"/>
    <d v="1899-12-30T00:33:11"/>
    <d v="1899-12-30T08:11:40"/>
    <d v="1899-12-30T15:12:00"/>
    <d v="1899-12-30T07:00:20"/>
    <d v="1899-12-30T07:12:00"/>
    <m/>
    <d v="1899-12-30T00:11:40"/>
    <n v="7.8945281522601121E-2"/>
    <n v="0.97299382716049376"/>
  </r>
  <r>
    <x v="17"/>
    <x v="0"/>
    <x v="0"/>
    <x v="10"/>
    <x v="3"/>
    <d v="1899-12-30T00:30:37"/>
    <d v="1899-12-30T08:00:35"/>
    <d v="1899-12-30T15:12:00"/>
    <d v="1899-12-30T07:11:25"/>
    <d v="1899-12-30T07:12:00"/>
    <m/>
    <d v="1899-12-30T00:00:35"/>
    <n v="7.0967741935483886E-2"/>
    <n v="0.9986496913580245"/>
  </r>
  <r>
    <x v="17"/>
    <x v="0"/>
    <x v="0"/>
    <x v="11"/>
    <x v="4"/>
    <d v="1899-12-30T00:20:12"/>
    <d v="1899-12-30T08:00:01"/>
    <d v="1899-12-30T15:12:00"/>
    <d v="1899-12-30T07:11:59"/>
    <d v="1899-12-30T07:12:00"/>
    <m/>
    <d v="1899-12-30T00:00:01"/>
    <n v="4.6761063312627804E-2"/>
    <n v="0.99996141975308639"/>
  </r>
  <r>
    <x v="17"/>
    <x v="0"/>
    <x v="0"/>
    <x v="13"/>
    <x v="1"/>
    <d v="1899-12-30T00:18:43"/>
    <d v="1899-12-30T08:00:00"/>
    <d v="1899-12-30T15:12:00"/>
    <d v="1899-12-30T07:12:00"/>
    <d v="1899-12-30T07:12:00"/>
    <m/>
    <d v="1899-12-30T00:00:00"/>
    <n v="4.3325617283950617E-2"/>
    <n v="1"/>
  </r>
  <r>
    <x v="17"/>
    <x v="0"/>
    <x v="0"/>
    <x v="14"/>
    <x v="0"/>
    <d v="1899-12-30T00:23:26"/>
    <d v="1899-12-30T08:20:00"/>
    <d v="1899-12-30T15:12:00"/>
    <d v="1899-12-30T06:52:00"/>
    <d v="1899-12-30T07:12:00"/>
    <m/>
    <d v="1899-12-30T00:20:00"/>
    <n v="5.6877022653721687E-2"/>
    <n v="0.95370370370370372"/>
  </r>
  <r>
    <x v="17"/>
    <x v="0"/>
    <x v="0"/>
    <x v="15"/>
    <x v="0"/>
    <d v="1899-12-30T00:17:42"/>
    <d v="1899-12-30T08:10:11"/>
    <d v="1899-12-30T15:12:00"/>
    <d v="1899-12-30T07:01:49"/>
    <d v="1899-12-30T07:12:00"/>
    <m/>
    <d v="1899-12-30T00:10:11"/>
    <n v="4.1961357619819041E-2"/>
    <n v="0.97642746913580236"/>
  </r>
  <r>
    <x v="17"/>
    <x v="0"/>
    <x v="0"/>
    <x v="16"/>
    <x v="0"/>
    <d v="1899-12-30T00:26:50"/>
    <d v="1899-12-30T08:01:12"/>
    <d v="1899-12-30T15:12:00"/>
    <d v="1899-12-30T07:10:48"/>
    <d v="1899-12-30T07:12:00"/>
    <m/>
    <d v="1899-12-30T00:01:12"/>
    <n v="6.2287217579696699E-2"/>
    <n v="0.99722222222222212"/>
  </r>
  <r>
    <x v="17"/>
    <x v="0"/>
    <x v="0"/>
    <x v="17"/>
    <x v="2"/>
    <d v="1899-12-30T00:44:04"/>
    <d v="1899-12-30T08:09:55"/>
    <d v="1899-12-30T15:12:00"/>
    <d v="1899-12-30T07:02:05"/>
    <d v="1899-12-30T07:12:00"/>
    <m/>
    <d v="1899-12-30T00:09:55"/>
    <n v="0.10440276406712737"/>
    <n v="0.97704475308641958"/>
  </r>
  <r>
    <x v="17"/>
    <x v="0"/>
    <x v="0"/>
    <x v="18"/>
    <x v="2"/>
    <d v="1899-12-30T00:14:37"/>
    <d v="1899-12-30T08:00:01"/>
    <d v="1899-12-30T15:12:00"/>
    <d v="1899-12-30T07:11:59"/>
    <d v="1899-12-30T07:12:00"/>
    <m/>
    <d v="1899-12-30T00:00:01"/>
    <n v="3.3836181951464185E-2"/>
    <n v="0.99996141975308639"/>
  </r>
  <r>
    <x v="18"/>
    <x v="0"/>
    <x v="0"/>
    <x v="0"/>
    <x v="0"/>
    <d v="1899-12-30T01:15:09"/>
    <d v="1899-12-30T08:00:18"/>
    <d v="1899-12-30T15:12:11"/>
    <d v="1899-12-30T07:11:53"/>
    <d v="1899-12-30T07:12:00"/>
    <m/>
    <d v="1899-12-30T00:00:07"/>
    <n v="0.17400532551229111"/>
    <n v="0.99972993827160506"/>
  </r>
  <r>
    <x v="18"/>
    <x v="0"/>
    <x v="0"/>
    <x v="2"/>
    <x v="2"/>
    <d v="1899-12-30T00:29:20"/>
    <d v="1899-12-30T08:06:39"/>
    <d v="1899-12-30T15:14:37"/>
    <d v="1899-12-30T07:07:58"/>
    <d v="1899-12-30T07:12:00"/>
    <m/>
    <d v="1899-12-30T00:04:02"/>
    <n v="6.8541163642028197E-2"/>
    <n v="0.9906635802469137"/>
  </r>
  <r>
    <x v="18"/>
    <x v="0"/>
    <x v="0"/>
    <x v="3"/>
    <x v="1"/>
    <d v="1899-12-30T01:19:22"/>
    <d v="1899-12-30T08:24:51"/>
    <d v="1899-12-30T15:17:23"/>
    <d v="1899-12-30T06:52:32"/>
    <d v="1899-12-30T07:12:00"/>
    <m/>
    <d v="1899-12-30T00:19:28"/>
    <n v="0.19238849385908208"/>
    <n v="0.95493827160493838"/>
  </r>
  <r>
    <x v="18"/>
    <x v="0"/>
    <x v="0"/>
    <x v="5"/>
    <x v="1"/>
    <d v="1899-12-30T01:00:33"/>
    <d v="1899-12-30T08:00:35"/>
    <d v="1899-12-30T15:13:15"/>
    <d v="1899-12-30T07:12:40"/>
    <d v="1899-12-30T07:12:00"/>
    <d v="1899-12-30T00:00:40"/>
    <m/>
    <n v="0.13994607087827429"/>
    <n v="1.0015432098765431"/>
  </r>
  <r>
    <x v="18"/>
    <x v="0"/>
    <x v="0"/>
    <x v="6"/>
    <x v="3"/>
    <d v="1899-12-30T01:04:43"/>
    <d v="1899-12-30T09:59:55"/>
    <d v="1899-12-30T18:01:08"/>
    <d v="1899-12-30T08:01:13"/>
    <d v="1899-12-30T07:12:00"/>
    <d v="1899-12-30T00:49:13"/>
    <m/>
    <n v="0.13448550548955768"/>
    <n v="1.1139274691358028"/>
  </r>
  <r>
    <x v="18"/>
    <x v="0"/>
    <x v="0"/>
    <x v="7"/>
    <x v="0"/>
    <d v="1899-12-30T00:55:43"/>
    <d v="1899-12-30T08:00:34"/>
    <d v="1899-12-30T16:00:39"/>
    <d v="1899-12-30T08:00:05"/>
    <d v="1899-12-30T07:12:00"/>
    <d v="1899-12-30T00:48:05"/>
    <m/>
    <n v="0.11605624023607013"/>
    <n v="1.1113040123456792"/>
  </r>
  <r>
    <x v="18"/>
    <x v="0"/>
    <x v="0"/>
    <x v="19"/>
    <x v="2"/>
    <d v="1899-12-30T00:40:55"/>
    <d v="1899-12-30T10:48:28"/>
    <d v="1899-12-30T18:01:28"/>
    <d v="1899-12-30T07:13:00"/>
    <d v="1899-12-30T07:12:00"/>
    <d v="1899-12-30T00:01:00"/>
    <m/>
    <n v="9.4495765973826015E-2"/>
    <n v="1.0023148148148149"/>
  </r>
  <r>
    <x v="18"/>
    <x v="0"/>
    <x v="0"/>
    <x v="10"/>
    <x v="3"/>
    <d v="1899-12-30T00:30:24"/>
    <d v="1899-12-30T08:00:22"/>
    <d v="1899-12-30T12:10:53"/>
    <d v="1899-12-30T04:10:31"/>
    <d v="1899-12-30T07:12:00"/>
    <m/>
    <d v="1899-12-30T03:01:29"/>
    <n v="0.12134921162929944"/>
    <n v="0.57989969135802477"/>
  </r>
  <r>
    <x v="18"/>
    <x v="0"/>
    <x v="0"/>
    <x v="11"/>
    <x v="4"/>
    <d v="1899-12-30T01:06:58"/>
    <d v="1899-12-30T08:00:04"/>
    <d v="1899-12-30T16:13:24"/>
    <d v="1899-12-30T08:13:20"/>
    <d v="1899-12-30T07:12:00"/>
    <d v="1899-12-30T01:01:20"/>
    <m/>
    <n v="0.13574324324324327"/>
    <n v="1.1419753086419753"/>
  </r>
  <r>
    <x v="18"/>
    <x v="0"/>
    <x v="0"/>
    <x v="13"/>
    <x v="1"/>
    <d v="1899-12-30T01:04:13"/>
    <d v="1899-12-30T08:01:10"/>
    <d v="1899-12-30T15:14:20"/>
    <d v="1899-12-30T07:13:10"/>
    <d v="1899-12-30T07:12:00"/>
    <d v="1899-12-30T00:01:10"/>
    <m/>
    <n v="0.14824932666410157"/>
    <n v="1.0027006172839508"/>
  </r>
  <r>
    <x v="18"/>
    <x v="0"/>
    <x v="0"/>
    <x v="14"/>
    <x v="0"/>
    <d v="1899-12-30T01:02:11"/>
    <d v="1899-12-30T10:01:26"/>
    <d v="1899-12-30T18:00:47"/>
    <d v="1899-12-30T07:59:21"/>
    <d v="1899-12-30T07:12:00"/>
    <d v="1899-12-30T00:47:21"/>
    <m/>
    <n v="0.12972427940614026"/>
    <n v="1.1096064814814817"/>
  </r>
  <r>
    <x v="18"/>
    <x v="0"/>
    <x v="0"/>
    <x v="15"/>
    <x v="0"/>
    <d v="1899-12-30T01:01:33"/>
    <d v="1899-12-30T09:46:20"/>
    <d v="1899-12-30T18:00:47"/>
    <d v="1899-12-30T08:14:27"/>
    <d v="1899-12-30T07:12:00"/>
    <d v="1899-12-30T01:02:27"/>
    <m/>
    <n v="0.12448174739609667"/>
    <n v="1.1445601851851852"/>
  </r>
  <r>
    <x v="18"/>
    <x v="0"/>
    <x v="0"/>
    <x v="16"/>
    <x v="0"/>
    <d v="1899-12-30T01:10:52"/>
    <d v="1899-12-30T08:00:20"/>
    <d v="1899-12-30T15:14:53"/>
    <d v="1899-12-30T07:14:33"/>
    <d v="1899-12-30T07:12:00"/>
    <d v="1899-12-30T00:02:33"/>
    <m/>
    <n v="0.1630805814444061"/>
    <n v="1.0059027777777778"/>
  </r>
  <r>
    <x v="18"/>
    <x v="0"/>
    <x v="0"/>
    <x v="17"/>
    <x v="2"/>
    <d v="1899-12-30T00:57:27"/>
    <d v="1899-12-30T10:30:50"/>
    <d v="1899-12-30T18:03:03"/>
    <d v="1899-12-30T07:32:13"/>
    <d v="1899-12-30T07:12:00"/>
    <d v="1899-12-30T00:20:13"/>
    <m/>
    <n v="0.12704087273799433"/>
    <n v="1.0467978395061728"/>
  </r>
  <r>
    <x v="18"/>
    <x v="0"/>
    <x v="0"/>
    <x v="18"/>
    <x v="2"/>
    <d v="1899-12-30T00:20:16"/>
    <d v="1899-12-30T08:00:04"/>
    <d v="1899-12-30T15:02:25"/>
    <d v="1899-12-30T07:02:21"/>
    <d v="1899-12-30T07:12:00"/>
    <m/>
    <d v="1899-12-30T00:09:39"/>
    <n v="4.7985478079002407E-2"/>
    <n v="0.97766203703703702"/>
  </r>
  <r>
    <x v="19"/>
    <x v="0"/>
    <x v="0"/>
    <x v="0"/>
    <x v="0"/>
    <d v="1899-12-30T01:08:38"/>
    <d v="1899-12-30T08:00:25"/>
    <d v="1899-12-30T15:12:20"/>
    <d v="1899-12-30T07:11:55"/>
    <d v="1899-12-30T07:12:00"/>
    <m/>
    <d v="1899-12-30T00:00:05"/>
    <n v="0.15890410958904108"/>
    <n v="0.99980709876543228"/>
  </r>
  <r>
    <x v="19"/>
    <x v="0"/>
    <x v="0"/>
    <x v="2"/>
    <x v="2"/>
    <d v="1899-12-30T00:20:37"/>
    <d v="1899-12-30T08:06:55"/>
    <d v="1899-12-30T15:16:43"/>
    <d v="1899-12-30T07:09:48"/>
    <d v="1899-12-30T07:12:00"/>
    <m/>
    <d v="1899-12-30T00:02:12"/>
    <n v="4.7968047153714902E-2"/>
    <n v="0.99490740740740757"/>
  </r>
  <r>
    <x v="19"/>
    <x v="0"/>
    <x v="0"/>
    <x v="3"/>
    <x v="1"/>
    <d v="1899-12-30T01:17:09"/>
    <d v="1899-12-30T08:08:01"/>
    <d v="1899-12-30T16:00:41"/>
    <d v="1899-12-30T07:52:40"/>
    <d v="1899-12-30T07:12:00"/>
    <d v="1899-12-30T00:40:40"/>
    <m/>
    <n v="0.1632228490832158"/>
    <n v="1.0941358024691359"/>
  </r>
  <r>
    <x v="19"/>
    <x v="0"/>
    <x v="0"/>
    <x v="5"/>
    <x v="1"/>
    <d v="1899-12-30T01:02:42"/>
    <d v="1899-12-30T08:01:39"/>
    <d v="1899-12-30T15:42:42"/>
    <d v="1899-12-30T07:41:03"/>
    <d v="1899-12-30T07:12:00"/>
    <d v="1899-12-30T00:29:03"/>
    <m/>
    <n v="0.1359939269059755"/>
    <n v="1.0672453703703704"/>
  </r>
  <r>
    <x v="19"/>
    <x v="0"/>
    <x v="0"/>
    <x v="6"/>
    <x v="3"/>
    <d v="1899-12-30T01:00:36"/>
    <d v="1899-12-30T08:56:53"/>
    <d v="1899-12-30T18:02:02"/>
    <d v="1899-12-30T09:05:09"/>
    <d v="1899-12-30T07:12:00"/>
    <d v="1899-12-30T01:53:09"/>
    <m/>
    <n v="0.11116206548656331"/>
    <n v="1.2619212962962965"/>
  </r>
  <r>
    <x v="19"/>
    <x v="0"/>
    <x v="0"/>
    <x v="7"/>
    <x v="0"/>
    <d v="1899-12-30T00:55:13"/>
    <d v="1899-12-30T08:00:34"/>
    <d v="1899-12-30T16:00:40"/>
    <d v="1899-12-30T08:00:06"/>
    <d v="1899-12-30T07:12:00"/>
    <d v="1899-12-30T00:48:06"/>
    <m/>
    <n v="0.11501076164687911"/>
    <n v="1.1113425925925926"/>
  </r>
  <r>
    <x v="19"/>
    <x v="0"/>
    <x v="0"/>
    <x v="19"/>
    <x v="2"/>
    <d v="1899-12-30T00:41:29"/>
    <d v="1899-12-30T10:57:41"/>
    <d v="1899-12-30T18:01:41"/>
    <d v="1899-12-30T07:04:00"/>
    <d v="1899-12-30T07:12:00"/>
    <m/>
    <d v="1899-12-30T00:08:00"/>
    <n v="9.7838050314465408E-2"/>
    <n v="0.98148148148148151"/>
  </r>
  <r>
    <x v="19"/>
    <x v="0"/>
    <x v="0"/>
    <x v="10"/>
    <x v="3"/>
    <d v="1899-12-30T00:56:48"/>
    <d v="1899-12-30T08:00:00"/>
    <d v="1899-12-30T15:13:18"/>
    <d v="1899-12-30T07:13:18"/>
    <d v="1899-12-30T07:12:00"/>
    <d v="1899-12-30T00:01:18"/>
    <m/>
    <n v="0.1310870066928225"/>
    <n v="1.0030092592592594"/>
  </r>
  <r>
    <x v="19"/>
    <x v="0"/>
    <x v="0"/>
    <x v="11"/>
    <x v="4"/>
    <d v="1899-12-30T00:59:23"/>
    <d v="1899-12-30T08:00:53"/>
    <d v="1899-12-30T16:16:15"/>
    <d v="1899-12-30T08:15:22"/>
    <d v="1899-12-30T07:12:00"/>
    <d v="1899-12-30T01:03:22"/>
    <m/>
    <n v="0.11987753179463026"/>
    <n v="1.146682098765432"/>
  </r>
  <r>
    <x v="19"/>
    <x v="0"/>
    <x v="0"/>
    <x v="13"/>
    <x v="1"/>
    <d v="1899-12-30T00:59:06"/>
    <d v="1899-12-30T08:01:42"/>
    <d v="1899-12-30T16:01:28"/>
    <d v="1899-12-30T07:59:46"/>
    <d v="1899-12-30T07:12:00"/>
    <d v="1899-12-30T00:47:46"/>
    <m/>
    <n v="0.12318488153963733"/>
    <n v="1.1105709876543211"/>
  </r>
  <r>
    <x v="19"/>
    <x v="0"/>
    <x v="0"/>
    <x v="14"/>
    <x v="0"/>
    <d v="1899-12-30T01:01:36"/>
    <d v="1899-12-30T10:18:30"/>
    <d v="1899-12-30T18:00:22"/>
    <d v="1899-12-30T07:41:52"/>
    <d v="1899-12-30T07:12:00"/>
    <d v="1899-12-30T00:29:52"/>
    <m/>
    <n v="0.13337182448036949"/>
    <n v="1.069135802469136"/>
  </r>
  <r>
    <x v="19"/>
    <x v="0"/>
    <x v="0"/>
    <x v="15"/>
    <x v="0"/>
    <d v="1899-12-30T01:11:32"/>
    <d v="1899-12-30T09:43:09"/>
    <d v="1899-12-30T18:00:28"/>
    <d v="1899-12-30T08:17:19"/>
    <d v="1899-12-30T07:12:00"/>
    <d v="1899-12-30T01:05:19"/>
    <m/>
    <n v="0.14383860048929256"/>
    <n v="1.151195987654321"/>
  </r>
  <r>
    <x v="19"/>
    <x v="0"/>
    <x v="0"/>
    <x v="16"/>
    <x v="0"/>
    <d v="1899-12-30T01:15:52"/>
    <d v="1899-12-30T08:03:21"/>
    <d v="1899-12-30T15:14:00"/>
    <d v="1899-12-30T07:10:39"/>
    <d v="1899-12-30T07:12:00"/>
    <m/>
    <d v="1899-12-30T00:01:21"/>
    <n v="0.17616780835171642"/>
    <n v="0.99687499999999984"/>
  </r>
  <r>
    <x v="19"/>
    <x v="0"/>
    <x v="0"/>
    <x v="17"/>
    <x v="2"/>
    <d v="1899-12-30T01:01:07"/>
    <d v="1899-12-30T10:58:10"/>
    <d v="1899-12-30T18:01:54"/>
    <d v="1899-12-30T07:03:44"/>
    <d v="1899-12-30T07:12:00"/>
    <m/>
    <d v="1899-12-30T00:08:16"/>
    <n v="0.14423379483952173"/>
    <n v="0.98086419753086407"/>
  </r>
  <r>
    <x v="19"/>
    <x v="0"/>
    <x v="0"/>
    <x v="18"/>
    <x v="2"/>
    <d v="1899-12-30T00:20:50"/>
    <d v="1899-12-30T08:00:48"/>
    <d v="1899-12-30T15:28:33"/>
    <d v="1899-12-30T07:27:45"/>
    <d v="1899-12-30T07:12:00"/>
    <d v="1899-12-30T00:15:45"/>
    <m/>
    <n v="4.6528941001302816E-2"/>
    <n v="1.0364583333333333"/>
  </r>
  <r>
    <x v="20"/>
    <x v="0"/>
    <x v="0"/>
    <x v="0"/>
    <x v="0"/>
    <d v="1899-12-30T00:40:16"/>
    <d v="1899-12-30T08:00:44"/>
    <d v="1899-12-30T15:12:00"/>
    <d v="1899-12-30T07:11:16"/>
    <d v="1899-12-30T07:12:00"/>
    <m/>
    <d v="1899-12-30T00:00:44"/>
    <n v="9.3368372236821776E-2"/>
    <n v="0.99830246913580245"/>
  </r>
  <r>
    <x v="20"/>
    <x v="0"/>
    <x v="0"/>
    <x v="2"/>
    <x v="2"/>
    <d v="1899-12-30T00:00:00"/>
    <d v="1899-12-30T08:05:00"/>
    <d v="1899-12-30T15:12:00"/>
    <d v="1899-12-30T07:07:00"/>
    <d v="1899-12-30T07:12:00"/>
    <m/>
    <d v="1899-12-30T00:05:00"/>
    <n v="0"/>
    <n v="0.98842592592592582"/>
  </r>
  <r>
    <x v="20"/>
    <x v="0"/>
    <x v="0"/>
    <x v="3"/>
    <x v="1"/>
    <d v="1899-12-30T00:28:43"/>
    <d v="1899-12-30T08:15:32"/>
    <d v="1899-12-30T15:12:00"/>
    <d v="1899-12-30T06:56:28"/>
    <d v="1899-12-30T07:12:00"/>
    <m/>
    <d v="1899-12-30T00:15:32"/>
    <n v="6.8953097486793666E-2"/>
    <n v="0.96404320987654324"/>
  </r>
  <r>
    <x v="20"/>
    <x v="0"/>
    <x v="0"/>
    <x v="5"/>
    <x v="1"/>
    <d v="1899-12-30T00:34:50"/>
    <d v="1899-12-30T08:01:01"/>
    <d v="1899-12-30T15:12:00"/>
    <d v="1899-12-30T07:10:59"/>
    <d v="1899-12-30T07:12:00"/>
    <m/>
    <d v="1899-12-30T00:01:01"/>
    <n v="8.0822924320352679E-2"/>
    <n v="0.99764660493827151"/>
  </r>
  <r>
    <x v="20"/>
    <x v="0"/>
    <x v="0"/>
    <x v="6"/>
    <x v="3"/>
    <d v="1899-12-30T00:16:06"/>
    <d v="1899-12-30T08:13:36"/>
    <d v="1899-12-30T15:12:00"/>
    <d v="1899-12-30T06:58:24"/>
    <d v="1899-12-30T07:12:00"/>
    <m/>
    <d v="1899-12-30T00:13:36"/>
    <n v="3.8479923518164441E-2"/>
    <n v="0.96851851851851845"/>
  </r>
  <r>
    <x v="20"/>
    <x v="0"/>
    <x v="0"/>
    <x v="7"/>
    <x v="0"/>
    <d v="1899-12-30T00:20:25"/>
    <d v="1899-12-30T08:00:34"/>
    <d v="1899-12-30T15:12:00"/>
    <d v="1899-12-30T07:11:26"/>
    <d v="1899-12-30T07:12:00"/>
    <m/>
    <d v="1899-12-30T00:00:34"/>
    <n v="4.7322877230935645E-2"/>
    <n v="0.99868827160493823"/>
  </r>
  <r>
    <x v="20"/>
    <x v="0"/>
    <x v="0"/>
    <x v="19"/>
    <x v="2"/>
    <d v="1899-12-30T00:18:39"/>
    <d v="1899-12-30T08:17:49"/>
    <d v="1899-12-30T15:12:00"/>
    <d v="1899-12-30T06:54:11"/>
    <d v="1899-12-30T07:12:00"/>
    <m/>
    <d v="1899-12-30T00:17:49"/>
    <n v="4.5028369079715108E-2"/>
    <n v="0.95875771604938265"/>
  </r>
  <r>
    <x v="20"/>
    <x v="0"/>
    <x v="0"/>
    <x v="10"/>
    <x v="3"/>
    <d v="1899-12-30T00:27:33"/>
    <d v="1899-12-30T08:00:09"/>
    <d v="1899-12-30T15:12:00"/>
    <d v="1899-12-30T07:11:51"/>
    <d v="1899-12-30T07:12:00"/>
    <m/>
    <d v="1899-12-30T00:00:09"/>
    <n v="6.3795299293736257E-2"/>
    <n v="0.99965277777777772"/>
  </r>
  <r>
    <x v="20"/>
    <x v="0"/>
    <x v="0"/>
    <x v="11"/>
    <x v="4"/>
    <d v="1899-12-30T00:32:07"/>
    <d v="1899-12-30T08:02:08"/>
    <d v="1899-12-30T15:12:00"/>
    <d v="1899-12-30T07:09:52"/>
    <d v="1899-12-30T07:12:00"/>
    <m/>
    <d v="1899-12-30T00:02:08"/>
    <n v="7.4713089330024823E-2"/>
    <n v="0.9950617283950618"/>
  </r>
  <r>
    <x v="20"/>
    <x v="0"/>
    <x v="0"/>
    <x v="13"/>
    <x v="1"/>
    <d v="1899-12-30T00:35:56"/>
    <d v="1899-12-30T08:00:43"/>
    <d v="1899-12-30T15:12:00"/>
    <d v="1899-12-30T07:11:17"/>
    <d v="1899-12-30T07:12:00"/>
    <m/>
    <d v="1899-12-30T00:00:43"/>
    <n v="8.3317231518336768E-2"/>
    <n v="0.99834104938271595"/>
  </r>
  <r>
    <x v="20"/>
    <x v="0"/>
    <x v="0"/>
    <x v="14"/>
    <x v="0"/>
    <d v="1899-12-30T00:24:49"/>
    <d v="1899-12-30T08:13:47"/>
    <d v="1899-12-30T15:12:00"/>
    <d v="1899-12-30T06:58:13"/>
    <d v="1899-12-30T07:12:00"/>
    <m/>
    <d v="1899-12-30T00:13:47"/>
    <n v="5.9339257960387366E-2"/>
    <n v="0.96809413580246906"/>
  </r>
  <r>
    <x v="20"/>
    <x v="0"/>
    <x v="0"/>
    <x v="15"/>
    <x v="0"/>
    <d v="1899-12-30T00:21:28"/>
    <d v="1899-12-30T08:03:46"/>
    <d v="1899-12-30T15:12:00"/>
    <d v="1899-12-30T07:08:14"/>
    <d v="1899-12-30T07:12:00"/>
    <m/>
    <d v="1899-12-30T00:03:46"/>
    <n v="5.0128434654004836E-2"/>
    <n v="0.9912808641975307"/>
  </r>
  <r>
    <x v="20"/>
    <x v="0"/>
    <x v="0"/>
    <x v="16"/>
    <x v="0"/>
    <d v="1899-12-30T00:38:32"/>
    <d v="1899-12-30T08:03:03"/>
    <d v="1899-12-30T15:12:00"/>
    <d v="1899-12-30T07:08:57"/>
    <d v="1899-12-30T07:12:00"/>
    <m/>
    <d v="1899-12-30T00:03:03"/>
    <n v="8.9831759723355484E-2"/>
    <n v="0.99293981481481486"/>
  </r>
  <r>
    <x v="20"/>
    <x v="0"/>
    <x v="0"/>
    <x v="17"/>
    <x v="2"/>
    <d v="1899-12-30T00:33:03"/>
    <d v="1899-12-30T08:03:04"/>
    <d v="1899-12-30T15:12:00"/>
    <d v="1899-12-30T07:08:56"/>
    <d v="1899-12-30T07:12:00"/>
    <m/>
    <d v="1899-12-30T00:03:04"/>
    <n v="7.705160087037613E-2"/>
    <n v="0.99290123456790114"/>
  </r>
  <r>
    <x v="20"/>
    <x v="0"/>
    <x v="0"/>
    <x v="18"/>
    <x v="2"/>
    <d v="1899-12-30T00:00:00"/>
    <d v="1899-12-30T08:00:05"/>
    <d v="1899-12-30T15:12:00"/>
    <d v="1899-12-30T07:11:55"/>
    <d v="1899-12-30T07:12:00"/>
    <m/>
    <d v="1899-12-30T00:00:05"/>
    <n v="0"/>
    <n v="0.99980709876543195"/>
  </r>
  <r>
    <x v="21"/>
    <x v="1"/>
    <x v="1"/>
    <x v="1"/>
    <x v="3"/>
    <d v="1899-12-30T00:58:27"/>
    <d v="1899-12-30T12:45:25"/>
    <d v="1899-12-30T18:00:09"/>
    <d v="1899-12-30T05:14:44"/>
    <d v="1899-12-30T06:00:00"/>
    <m/>
    <d v="1899-12-30T00:45:16"/>
    <n v="0.18571277271764458"/>
    <n v="0.87425925925925929"/>
  </r>
  <r>
    <x v="21"/>
    <x v="1"/>
    <x v="1"/>
    <x v="2"/>
    <x v="2"/>
    <d v="1899-12-30T00:27:16"/>
    <d v="1899-12-30T08:08:42"/>
    <d v="1899-12-30T15:17:17"/>
    <d v="1899-12-30T07:08:35"/>
    <d v="1899-12-30T07:12:00"/>
    <m/>
    <d v="1899-12-30T00:03:25"/>
    <n v="6.3620454987361463E-2"/>
    <n v="0.99209104938271619"/>
  </r>
  <r>
    <x v="21"/>
    <x v="1"/>
    <x v="1"/>
    <x v="3"/>
    <x v="0"/>
    <d v="1899-12-30T01:21:59"/>
    <d v="1899-12-30T08:05:11"/>
    <d v="1899-12-30T16:02:20"/>
    <d v="1899-12-30T07:57:09"/>
    <d v="1899-12-30T07:12:00"/>
    <d v="1899-12-30T00:45:09"/>
    <m/>
    <n v="0.17181878514792692"/>
    <n v="1.104513888888889"/>
  </r>
  <r>
    <x v="21"/>
    <x v="1"/>
    <x v="1"/>
    <x v="5"/>
    <x v="0"/>
    <d v="1899-12-30T01:28:31"/>
    <d v="1899-12-30T08:08:39"/>
    <d v="1899-12-30T15:42:21"/>
    <d v="1899-12-30T07:33:42"/>
    <d v="1899-12-30T07:12:00"/>
    <d v="1899-12-30T00:21:42"/>
    <m/>
    <n v="0.19509955183307615"/>
    <n v="1.0502314814814817"/>
  </r>
  <r>
    <x v="21"/>
    <x v="1"/>
    <x v="1"/>
    <x v="7"/>
    <x v="0"/>
    <d v="1899-12-30T00:47:56"/>
    <d v="1899-12-30T08:00:34"/>
    <d v="1899-12-30T16:00:12"/>
    <d v="1899-12-30T07:59:38"/>
    <d v="1899-12-30T07:12:00"/>
    <d v="1899-12-30T00:47:38"/>
    <m/>
    <n v="9.9937452220446185E-2"/>
    <n v="1.1102623456790124"/>
  </r>
  <r>
    <x v="21"/>
    <x v="1"/>
    <x v="1"/>
    <x v="19"/>
    <x v="2"/>
    <d v="1899-12-30T00:39:04"/>
    <d v="1899-12-30T11:05:45"/>
    <d v="1899-12-30T18:01:46"/>
    <d v="1899-12-30T06:56:01"/>
    <d v="1899-12-30T07:12:00"/>
    <m/>
    <d v="1899-12-30T00:15:59"/>
    <n v="9.3906494130844093E-2"/>
    <n v="0.96300154320987674"/>
  </r>
  <r>
    <x v="21"/>
    <x v="1"/>
    <x v="1"/>
    <x v="10"/>
    <x v="3"/>
    <d v="1899-12-30T00:54:04"/>
    <d v="1899-12-30T08:00:08"/>
    <d v="1899-12-30T16:14:00"/>
    <d v="1899-12-30T08:13:52"/>
    <d v="1899-12-30T07:12:00"/>
    <d v="1899-12-30T01:01:52"/>
    <m/>
    <n v="0.10947624190064792"/>
    <n v="1.1432098765432102"/>
  </r>
  <r>
    <x v="21"/>
    <x v="1"/>
    <x v="1"/>
    <x v="11"/>
    <x v="4"/>
    <d v="1899-12-30T01:03:25"/>
    <d v="1899-12-30T08:00:50"/>
    <d v="1899-12-30T16:13:53"/>
    <d v="1899-12-30T08:13:03"/>
    <d v="1899-12-30T07:12:00"/>
    <d v="1899-12-30T01:01:03"/>
    <m/>
    <n v="0.12862116756245143"/>
    <n v="1.1413194444444443"/>
  </r>
  <r>
    <x v="21"/>
    <x v="1"/>
    <x v="1"/>
    <x v="13"/>
    <x v="0"/>
    <d v="1899-12-30T00:59:31"/>
    <d v="1899-12-30T08:00:00"/>
    <d v="1899-12-30T16:50:00"/>
    <d v="1899-12-30T08:50:00"/>
    <d v="1899-12-30T07:12:00"/>
    <d v="1899-12-30T01:38:00"/>
    <m/>
    <n v="0.11229559748427674"/>
    <n v="1.2268518518518519"/>
  </r>
  <r>
    <x v="21"/>
    <x v="1"/>
    <x v="1"/>
    <x v="14"/>
    <x v="0"/>
    <d v="1899-12-30T01:03:20"/>
    <d v="1899-12-30T10:17:56"/>
    <d v="1899-12-30T18:00:16"/>
    <d v="1899-12-30T07:42:20"/>
    <d v="1899-12-30T07:12:00"/>
    <d v="1899-12-30T00:30:20"/>
    <m/>
    <n v="0.13698630136986303"/>
    <n v="1.070216049382716"/>
  </r>
  <r>
    <x v="21"/>
    <x v="1"/>
    <x v="1"/>
    <x v="16"/>
    <x v="0"/>
    <d v="1899-12-30T01:27:04"/>
    <d v="1899-12-30T08:04:15"/>
    <d v="1899-12-30T15:54:56"/>
    <d v="1899-12-30T07:50:41"/>
    <d v="1899-12-30T07:12:00"/>
    <d v="1899-12-30T00:38:41"/>
    <m/>
    <n v="0.18497928543606812"/>
    <n v="1.0895447530864197"/>
  </r>
  <r>
    <x v="21"/>
    <x v="1"/>
    <x v="1"/>
    <x v="17"/>
    <x v="2"/>
    <d v="1899-12-30T00:50:03"/>
    <d v="1899-12-30T10:50:29"/>
    <d v="1899-12-30T18:07:14"/>
    <d v="1899-12-30T07:16:45"/>
    <d v="1899-12-30T07:12:00"/>
    <d v="1899-12-30T00:04:45"/>
    <m/>
    <n v="0.11459645105895819"/>
    <n v="1.0109953703703707"/>
  </r>
  <r>
    <x v="21"/>
    <x v="1"/>
    <x v="1"/>
    <x v="18"/>
    <x v="2"/>
    <d v="1899-12-30T00:20:44"/>
    <d v="1899-12-30T08:12:55"/>
    <d v="1899-12-30T15:12:00"/>
    <d v="1899-12-30T06:59:05"/>
    <d v="1899-12-30T07:12:00"/>
    <m/>
    <d v="1899-12-30T00:12:55"/>
    <n v="4.947305627361305E-2"/>
    <n v="0.97010030864197516"/>
  </r>
  <r>
    <x v="22"/>
    <x v="1"/>
    <x v="1"/>
    <x v="1"/>
    <x v="3"/>
    <d v="1899-12-30T01:03:14"/>
    <d v="1899-12-30T12:36:21"/>
    <d v="1899-12-30T18:00:24"/>
    <d v="1899-12-30T05:24:03"/>
    <d v="1899-12-30T06:00:00"/>
    <m/>
    <d v="1899-12-30T00:35:57"/>
    <n v="0.19513449570539515"/>
    <n v="0.90013888888888927"/>
  </r>
  <r>
    <x v="22"/>
    <x v="1"/>
    <x v="1"/>
    <x v="2"/>
    <x v="2"/>
    <d v="1899-12-30T00:20:57"/>
    <d v="1899-12-30T08:04:36"/>
    <d v="1899-12-30T15:32:45"/>
    <d v="1899-12-30T07:28:09"/>
    <d v="1899-12-30T07:12:00"/>
    <d v="1899-12-30T00:16:09"/>
    <m/>
    <n v="4.6747740711815235E-2"/>
    <n v="1.0373842592592595"/>
  </r>
  <r>
    <x v="22"/>
    <x v="1"/>
    <x v="1"/>
    <x v="3"/>
    <x v="0"/>
    <d v="1899-12-30T01:22:34"/>
    <d v="1899-12-30T08:00:37"/>
    <d v="1899-12-30T15:12:23"/>
    <d v="1899-12-30T07:11:46"/>
    <d v="1899-12-30T07:12:00"/>
    <m/>
    <d v="1899-12-30T00:00:14"/>
    <n v="0.19122983092719831"/>
    <n v="0.99945987654321"/>
  </r>
  <r>
    <x v="22"/>
    <x v="1"/>
    <x v="1"/>
    <x v="5"/>
    <x v="0"/>
    <d v="1899-12-30T01:06:21"/>
    <d v="1899-12-30T08:05:50"/>
    <d v="1899-12-30T15:12:31"/>
    <d v="1899-12-30T07:06:41"/>
    <d v="1899-12-30T07:12:00"/>
    <m/>
    <d v="1899-12-30T00:05:19"/>
    <n v="0.15550173821335103"/>
    <n v="0.98769290123456799"/>
  </r>
  <r>
    <x v="22"/>
    <x v="1"/>
    <x v="1"/>
    <x v="7"/>
    <x v="0"/>
    <d v="1899-12-30T01:17:43"/>
    <d v="1899-12-30T08:00:34"/>
    <d v="1899-12-30T16:00:26"/>
    <d v="1899-12-30T07:59:52"/>
    <d v="1899-12-30T07:12:00"/>
    <d v="1899-12-30T00:47:52"/>
    <m/>
    <n v="0.16195470964156708"/>
    <n v="1.1108024691358027"/>
  </r>
  <r>
    <x v="22"/>
    <x v="1"/>
    <x v="1"/>
    <x v="19"/>
    <x v="2"/>
    <d v="1899-12-30T00:37:35"/>
    <d v="1899-12-30T10:49:02"/>
    <d v="1899-12-30T18:02:03"/>
    <d v="1899-12-30T07:13:01"/>
    <d v="1899-12-30T07:12:00"/>
    <d v="1899-12-30T00:01:01"/>
    <m/>
    <n v="8.6794195758438858E-2"/>
    <n v="1.0023533950617285"/>
  </r>
  <r>
    <x v="22"/>
    <x v="1"/>
    <x v="1"/>
    <x v="10"/>
    <x v="3"/>
    <d v="1899-12-30T01:14:48"/>
    <d v="1899-12-30T08:00:00"/>
    <d v="1899-12-30T15:37:34"/>
    <d v="1899-12-30T07:37:34"/>
    <d v="1899-12-30T07:12:00"/>
    <d v="1899-12-30T00:25:34"/>
    <m/>
    <n v="0.16347344649231438"/>
    <n v="1.0591820987654323"/>
  </r>
  <r>
    <x v="22"/>
    <x v="1"/>
    <x v="1"/>
    <x v="11"/>
    <x v="4"/>
    <d v="1899-12-30T01:00:52"/>
    <d v="1899-12-30T08:00:22"/>
    <d v="1899-12-30T16:14:09"/>
    <d v="1899-12-30T08:13:47"/>
    <d v="1899-12-30T07:12:00"/>
    <d v="1899-12-30T01:01:47"/>
    <m/>
    <n v="0.12326593985216189"/>
    <n v="1.1430169753086419"/>
  </r>
  <r>
    <x v="22"/>
    <x v="1"/>
    <x v="1"/>
    <x v="13"/>
    <x v="0"/>
    <d v="1899-12-30T01:05:53"/>
    <d v="1899-12-30T08:00:54"/>
    <d v="1899-12-30T16:46:00"/>
    <d v="1899-12-30T08:45:06"/>
    <d v="1899-12-30T07:12:00"/>
    <d v="1899-12-30T01:33:06"/>
    <m/>
    <n v="0.12546816479400752"/>
    <n v="1.2155092592592591"/>
  </r>
  <r>
    <x v="22"/>
    <x v="1"/>
    <x v="1"/>
    <x v="14"/>
    <x v="0"/>
    <d v="1899-12-30T01:02:39"/>
    <d v="1899-12-30T10:40:08"/>
    <d v="1899-12-30T18:00:49"/>
    <d v="1899-12-30T07:20:41"/>
    <d v="1899-12-30T07:12:00"/>
    <d v="1899-12-30T00:08:41"/>
    <m/>
    <n v="0.14216557618849512"/>
    <n v="1.0201003086419755"/>
  </r>
  <r>
    <x v="22"/>
    <x v="1"/>
    <x v="1"/>
    <x v="15"/>
    <x v="0"/>
    <d v="1899-12-30T00:59:38"/>
    <d v="1899-12-30T10:25:58"/>
    <d v="1899-12-30T18:00:28"/>
    <d v="1899-12-30T07:34:30"/>
    <d v="1899-12-30T07:12:00"/>
    <d v="1899-12-30T00:22:30"/>
    <m/>
    <n v="0.13120645397873121"/>
    <n v="1.0520833333333333"/>
  </r>
  <r>
    <x v="22"/>
    <x v="1"/>
    <x v="1"/>
    <x v="17"/>
    <x v="2"/>
    <d v="1899-12-30T00:50:47"/>
    <d v="1899-12-30T10:48:21"/>
    <d v="1899-12-30T18:04:20"/>
    <d v="1899-12-30T07:15:59"/>
    <d v="1899-12-30T07:12:00"/>
    <d v="1899-12-30T00:03:59"/>
    <m/>
    <n v="0.11647998776711649"/>
    <n v="1.0092206790123457"/>
  </r>
  <r>
    <x v="22"/>
    <x v="1"/>
    <x v="1"/>
    <x v="18"/>
    <x v="2"/>
    <d v="1899-12-30T00:20:51"/>
    <d v="1899-12-30T08:07:11"/>
    <d v="1899-12-30T15:21:21"/>
    <d v="1899-12-30T07:14:10"/>
    <d v="1899-12-30T07:12:00"/>
    <d v="1899-12-30T00:02:10"/>
    <m/>
    <n v="4.8023032629558544E-2"/>
    <n v="1.0050154320987654"/>
  </r>
  <r>
    <x v="23"/>
    <x v="1"/>
    <x v="1"/>
    <x v="1"/>
    <x v="3"/>
    <d v="1899-12-30T00:52:41"/>
    <d v="1899-12-30T12:52:57"/>
    <d v="1899-12-30T18:00:18"/>
    <d v="1899-12-30T05:07:21"/>
    <d v="1899-12-30T06:00:00"/>
    <m/>
    <d v="1899-12-30T00:52:39"/>
    <n v="0.17141152865896636"/>
    <n v="0.85375000000000023"/>
  </r>
  <r>
    <x v="23"/>
    <x v="1"/>
    <x v="1"/>
    <x v="2"/>
    <x v="2"/>
    <d v="1899-12-30T00:15:20"/>
    <d v="1899-12-30T09:48:04"/>
    <d v="1899-12-30T17:29:50"/>
    <d v="1899-12-30T07:41:46"/>
    <d v="1899-12-30T07:12:00"/>
    <d v="1899-12-30T00:29:46"/>
    <m/>
    <n v="3.3205803797011484E-2"/>
    <n v="1.0689043209876543"/>
  </r>
  <r>
    <x v="23"/>
    <x v="1"/>
    <x v="1"/>
    <x v="3"/>
    <x v="0"/>
    <d v="1899-12-30T01:36:23"/>
    <d v="1899-12-30T08:01:45"/>
    <d v="1899-12-30T15:12:20"/>
    <d v="1899-12-30T07:10:35"/>
    <d v="1899-12-30T07:12:00"/>
    <m/>
    <d v="1899-12-30T00:01:25"/>
    <n v="0.22384362299206498"/>
    <n v="0.99672067901234584"/>
  </r>
  <r>
    <x v="23"/>
    <x v="1"/>
    <x v="1"/>
    <x v="7"/>
    <x v="0"/>
    <d v="1899-12-30T00:52:47"/>
    <d v="1899-12-30T08:00:34"/>
    <d v="1899-12-30T15:12:21"/>
    <d v="1899-12-30T07:11:47"/>
    <d v="1899-12-30T07:12:00"/>
    <m/>
    <m/>
    <n v="0.12224495310147837"/>
    <n v="0.9994984567901235"/>
  </r>
  <r>
    <x v="23"/>
    <x v="1"/>
    <x v="1"/>
    <x v="19"/>
    <x v="2"/>
    <d v="1899-12-30T00:49:03"/>
    <d v="1899-12-30T10:48:56"/>
    <d v="1899-12-30T18:01:13"/>
    <d v="1899-12-30T07:12:17"/>
    <d v="1899-12-30T07:12:00"/>
    <d v="1899-12-30T00:00:17"/>
    <m/>
    <n v="0.11346724756139878"/>
    <n v="1.0006558641975309"/>
  </r>
  <r>
    <x v="23"/>
    <x v="1"/>
    <x v="1"/>
    <x v="10"/>
    <x v="3"/>
    <d v="1899-12-30T01:08:26"/>
    <d v="1899-12-30T08:00:00"/>
    <d v="1899-12-30T16:12:35"/>
    <d v="1899-12-30T08:12:35"/>
    <d v="1899-12-30T07:12:00"/>
    <d v="1899-12-30T01:00:35"/>
    <m/>
    <n v="0.13892742344780915"/>
    <n v="1.1402391975308643"/>
  </r>
  <r>
    <x v="23"/>
    <x v="1"/>
    <x v="1"/>
    <x v="11"/>
    <x v="4"/>
    <d v="1899-12-30T00:59:40"/>
    <d v="1899-12-30T08:02:04"/>
    <d v="1899-12-30T16:12:52"/>
    <d v="1899-12-30T08:10:48"/>
    <d v="1899-12-30T07:12:00"/>
    <d v="1899-12-30T00:58:48"/>
    <m/>
    <n v="0.12157022548220593"/>
    <n v="1.1361111111111111"/>
  </r>
  <r>
    <x v="23"/>
    <x v="1"/>
    <x v="1"/>
    <x v="13"/>
    <x v="0"/>
    <d v="1899-12-30T00:50:02"/>
    <d v="1899-12-30T08:01:02"/>
    <d v="1899-12-30T15:14:07"/>
    <d v="1899-12-30T07:13:05"/>
    <d v="1899-12-30T07:12:00"/>
    <d v="1899-12-30T00:01:05"/>
    <m/>
    <n v="0.11552818934000383"/>
    <n v="1.0025077160493829"/>
  </r>
  <r>
    <x v="23"/>
    <x v="1"/>
    <x v="1"/>
    <x v="15"/>
    <x v="0"/>
    <d v="1899-12-30T01:24:08"/>
    <d v="1899-12-30T10:37:47"/>
    <d v="1899-12-30T18:03:21"/>
    <d v="1899-12-30T07:25:34"/>
    <d v="1899-12-30T07:12:00"/>
    <d v="1899-12-30T00:13:34"/>
    <m/>
    <n v="0.1888232213660507"/>
    <n v="1.0314043209876544"/>
  </r>
  <r>
    <x v="23"/>
    <x v="1"/>
    <x v="1"/>
    <x v="16"/>
    <x v="0"/>
    <d v="1899-12-30T00:26:53"/>
    <d v="1899-12-30T08:03:08"/>
    <d v="1899-12-30T15:12:00"/>
    <d v="1899-12-30T07:08:52"/>
    <d v="1899-12-30T07:12:00"/>
    <m/>
    <d v="1899-12-30T00:03:08"/>
    <n v="6.2684595056738707E-2"/>
    <n v="0.9927469135802468"/>
  </r>
  <r>
    <x v="23"/>
    <x v="1"/>
    <x v="1"/>
    <x v="17"/>
    <x v="2"/>
    <d v="1899-12-30T00:51:09"/>
    <d v="1899-12-30T10:50:14"/>
    <d v="1899-12-30T18:03:17"/>
    <d v="1899-12-30T07:13:03"/>
    <d v="1899-12-30T07:12:00"/>
    <d v="1899-12-30T00:01:03"/>
    <m/>
    <n v="0.11811569102874959"/>
    <n v="1.0024305555555555"/>
  </r>
  <r>
    <x v="23"/>
    <x v="1"/>
    <x v="1"/>
    <x v="18"/>
    <x v="2"/>
    <d v="1899-12-30T00:22:22"/>
    <d v="1899-12-30T08:00:07"/>
    <d v="1899-12-30T15:12:31"/>
    <d v="1899-12-30T07:12:24"/>
    <d v="1899-12-30T07:12:00"/>
    <d v="1899-12-30T00:00:24"/>
    <m/>
    <n v="5.1726796176379902E-2"/>
    <n v="1.0009259259259258"/>
  </r>
  <r>
    <x v="24"/>
    <x v="1"/>
    <x v="1"/>
    <x v="1"/>
    <x v="3"/>
    <d v="1899-12-30T00:49:34"/>
    <d v="1899-12-30T12:20:36"/>
    <d v="1899-12-30T18:00:32"/>
    <d v="1899-12-30T05:39:56"/>
    <d v="1899-12-30T06:00:00"/>
    <m/>
    <d v="1899-12-30T00:20:04"/>
    <n v="0.1458129044910767"/>
    <n v="0.94425925925925913"/>
  </r>
  <r>
    <x v="24"/>
    <x v="1"/>
    <x v="1"/>
    <x v="2"/>
    <x v="2"/>
    <d v="1899-12-30T00:08:39"/>
    <d v="1899-12-30T08:01:05"/>
    <d v="1899-12-30T16:38:33"/>
    <d v="1899-12-30T08:37:28"/>
    <d v="1899-12-30T07:12:00"/>
    <d v="1899-12-30T01:25:28"/>
    <m/>
    <n v="1.6716052563772222E-2"/>
    <n v="1.1978395061728395"/>
  </r>
  <r>
    <x v="24"/>
    <x v="1"/>
    <x v="1"/>
    <x v="5"/>
    <x v="0"/>
    <d v="1899-12-30T00:58:02"/>
    <d v="1899-12-30T08:03:21"/>
    <d v="1899-12-30T15:43:02"/>
    <d v="1899-12-30T07:39:41"/>
    <d v="1899-12-30T07:12:00"/>
    <d v="1899-12-30T00:27:41"/>
    <m/>
    <n v="0.12624632899459773"/>
    <n v="1.0640817901234569"/>
  </r>
  <r>
    <x v="24"/>
    <x v="1"/>
    <x v="1"/>
    <x v="7"/>
    <x v="0"/>
    <d v="1899-12-30T00:50:32"/>
    <d v="1899-12-30T08:00:34"/>
    <d v="1899-12-30T16:01:00"/>
    <d v="1899-12-30T08:00:26"/>
    <d v="1899-12-30T07:12:00"/>
    <d v="1899-12-30T00:48:26"/>
    <m/>
    <n v="0.10518282106431695"/>
    <n v="1.1121141975308642"/>
  </r>
  <r>
    <x v="24"/>
    <x v="1"/>
    <x v="1"/>
    <x v="19"/>
    <x v="2"/>
    <d v="1899-12-30T00:46:47"/>
    <d v="1899-12-30T10:58:51"/>
    <d v="1899-12-30T18:08:01"/>
    <d v="1899-12-30T07:09:10"/>
    <d v="1899-12-30T07:12:00"/>
    <m/>
    <d v="1899-12-30T00:02:50"/>
    <n v="0.10900970873786411"/>
    <n v="0.99344135802469113"/>
  </r>
  <r>
    <x v="24"/>
    <x v="1"/>
    <x v="1"/>
    <x v="10"/>
    <x v="3"/>
    <d v="1899-12-30T01:04:11"/>
    <d v="1899-12-30T08:00:00"/>
    <d v="1899-12-30T15:38:15"/>
    <d v="1899-12-30T07:38:15"/>
    <d v="1899-12-30T07:12:00"/>
    <d v="1899-12-30T00:26:15"/>
    <m/>
    <n v="0.14006182942353154"/>
    <n v="1.0607638888888891"/>
  </r>
  <r>
    <x v="24"/>
    <x v="1"/>
    <x v="1"/>
    <x v="11"/>
    <x v="4"/>
    <d v="1899-12-30T00:57:42"/>
    <d v="1899-12-30T08:03:17"/>
    <d v="1899-12-30T15:15:59"/>
    <d v="1899-12-30T07:12:42"/>
    <d v="1899-12-30T07:12:00"/>
    <d v="1899-12-30T00:00:42"/>
    <m/>
    <n v="0.13334874046683615"/>
    <n v="1.0016203703703705"/>
  </r>
  <r>
    <x v="24"/>
    <x v="1"/>
    <x v="1"/>
    <x v="13"/>
    <x v="0"/>
    <d v="1899-12-30T00:41:10"/>
    <d v="1899-12-30T08:00:37"/>
    <d v="1899-12-30T16:39:58"/>
    <d v="1899-12-30T08:39:21"/>
    <d v="1899-12-30T07:12:00"/>
    <d v="1899-12-30T01:27:21"/>
    <m/>
    <n v="7.9265748852732576E-2"/>
    <n v="1.2021990740740742"/>
  </r>
  <r>
    <x v="24"/>
    <x v="1"/>
    <x v="1"/>
    <x v="15"/>
    <x v="0"/>
    <d v="1899-12-30T01:06:07"/>
    <d v="1899-12-30T10:55:24"/>
    <d v="1899-12-30T18:00:23"/>
    <d v="1899-12-30T07:04:59"/>
    <d v="1899-12-30T07:12:00"/>
    <m/>
    <d v="1899-12-30T00:07:01"/>
    <n v="0.1555747284207224"/>
    <n v="0.98375771604938267"/>
  </r>
  <r>
    <x v="24"/>
    <x v="1"/>
    <x v="1"/>
    <x v="17"/>
    <x v="2"/>
    <d v="1899-12-30T00:42:45"/>
    <d v="1899-12-30T10:57:26"/>
    <d v="1899-12-30T18:08:14"/>
    <d v="1899-12-30T07:10:48"/>
    <d v="1899-12-30T07:12:00"/>
    <m/>
    <d v="1899-12-30T00:01:12"/>
    <n v="9.9233983286908065E-2"/>
    <n v="0.99722222222222234"/>
  </r>
  <r>
    <x v="24"/>
    <x v="1"/>
    <x v="1"/>
    <x v="18"/>
    <x v="2"/>
    <d v="1899-12-30T00:21:42"/>
    <d v="1899-12-30T08:00:48"/>
    <d v="1899-12-30T15:40:19"/>
    <d v="1899-12-30T07:39:31"/>
    <d v="1899-12-30T07:12:00"/>
    <d v="1899-12-30T00:27:31"/>
    <m/>
    <n v="4.7223531971999563E-2"/>
    <n v="1.0636959876543211"/>
  </r>
  <r>
    <x v="25"/>
    <x v="1"/>
    <x v="1"/>
    <x v="2"/>
    <x v="2"/>
    <d v="1899-12-30T00:28:00"/>
    <d v="1899-12-30T08:35:52"/>
    <d v="1899-12-30T15:18:43"/>
    <d v="1899-12-30T06:42:51"/>
    <d v="1899-12-30T07:12:00"/>
    <m/>
    <d v="1899-12-30T00:29:09"/>
    <n v="6.9504778453518684E-2"/>
    <n v="0.93252314814814818"/>
  </r>
  <r>
    <x v="25"/>
    <x v="1"/>
    <x v="1"/>
    <x v="3"/>
    <x v="0"/>
    <d v="1899-12-30T01:02:41"/>
    <d v="1899-12-30T08:02:37"/>
    <d v="1899-12-30T15:14:51"/>
    <d v="1899-12-30T07:12:14"/>
    <d v="1899-12-30T07:12:00"/>
    <d v="1899-12-30T00:00:14"/>
    <m/>
    <n v="0.14502197886943782"/>
    <n v="1.0005401234567899"/>
  </r>
  <r>
    <x v="25"/>
    <x v="1"/>
    <x v="1"/>
    <x v="5"/>
    <x v="0"/>
    <d v="1899-12-30T00:59:55"/>
    <d v="1899-12-30T08:06:57"/>
    <d v="1899-12-30T15:42:32"/>
    <d v="1899-12-30T07:35:35"/>
    <d v="1899-12-30T07:12:00"/>
    <d v="1899-12-30T00:23:35"/>
    <m/>
    <n v="0.13151637095299068"/>
    <n v="1.054591049382716"/>
  </r>
  <r>
    <x v="25"/>
    <x v="1"/>
    <x v="1"/>
    <x v="7"/>
    <x v="0"/>
    <d v="1899-12-30T00:53:24"/>
    <d v="1899-12-30T08:00:34"/>
    <d v="1899-12-30T16:00:59"/>
    <d v="1899-12-30T08:00:25"/>
    <d v="1899-12-30T07:12:00"/>
    <d v="1899-12-30T00:48:25"/>
    <m/>
    <n v="0.111153512575889"/>
    <n v="1.1120756172839505"/>
  </r>
  <r>
    <x v="25"/>
    <x v="1"/>
    <x v="1"/>
    <x v="10"/>
    <x v="3"/>
    <d v="1899-12-30T01:16:18"/>
    <d v="1899-12-30T08:00:59"/>
    <d v="1899-12-30T15:13:53"/>
    <d v="1899-12-30T07:12:54"/>
    <d v="1899-12-30T07:12:00"/>
    <d v="1899-12-30T00:00:54"/>
    <m/>
    <n v="0.17625317625317627"/>
    <n v="1.0020833333333332"/>
  </r>
  <r>
    <x v="25"/>
    <x v="1"/>
    <x v="1"/>
    <x v="11"/>
    <x v="4"/>
    <d v="1899-12-30T00:50:37"/>
    <d v="1899-12-30T08:01:55"/>
    <d v="1899-12-30T15:14:08"/>
    <d v="1899-12-30T07:12:13"/>
    <d v="1899-12-30T07:12:00"/>
    <d v="1899-12-30T00:00:13"/>
    <m/>
    <n v="0.11710947441483821"/>
    <n v="1.0005015432098767"/>
  </r>
  <r>
    <x v="25"/>
    <x v="1"/>
    <x v="1"/>
    <x v="13"/>
    <x v="0"/>
    <d v="1899-12-30T00:47:17"/>
    <d v="1899-12-30T08:00:48"/>
    <d v="1899-12-30T16:28:44"/>
    <d v="1899-12-30T08:27:56"/>
    <d v="1899-12-30T07:12:00"/>
    <d v="1899-12-30T01:15:56"/>
    <m/>
    <n v="9.3089644310276942E-2"/>
    <n v="1.1757716049382716"/>
  </r>
  <r>
    <x v="25"/>
    <x v="1"/>
    <x v="1"/>
    <x v="14"/>
    <x v="0"/>
    <d v="1899-12-30T00:49:25"/>
    <d v="1899-12-30T11:07:06"/>
    <d v="1899-12-30T18:00:31"/>
    <d v="1899-12-30T06:53:25"/>
    <d v="1899-12-30T07:12:00"/>
    <m/>
    <d v="1899-12-30T00:18:35"/>
    <n v="0.11953235234831684"/>
    <n v="0.95698302469135821"/>
  </r>
  <r>
    <x v="25"/>
    <x v="1"/>
    <x v="1"/>
    <x v="15"/>
    <x v="0"/>
    <d v="1899-12-30T01:07:18"/>
    <d v="1899-12-30T10:16:51"/>
    <d v="1899-12-30T18:00:38"/>
    <d v="1899-12-30T07:43:47"/>
    <d v="1899-12-30T07:12:00"/>
    <d v="1899-12-30T00:31:47"/>
    <m/>
    <n v="0.14511086354978978"/>
    <n v="1.0735725308641975"/>
  </r>
  <r>
    <x v="25"/>
    <x v="1"/>
    <x v="1"/>
    <x v="17"/>
    <x v="2"/>
    <d v="1899-12-30T00:35:07"/>
    <d v="1899-12-30T10:26:56"/>
    <d v="1899-12-30T18:08:02"/>
    <d v="1899-12-30T07:41:06"/>
    <d v="1899-12-30T07:12:00"/>
    <d v="1899-12-30T00:29:06"/>
    <m/>
    <n v="7.6158461649678294E-2"/>
    <n v="1.0673611111111112"/>
  </r>
  <r>
    <x v="25"/>
    <x v="1"/>
    <x v="1"/>
    <x v="18"/>
    <x v="2"/>
    <d v="1899-12-30T00:38:49"/>
    <d v="1899-12-30T08:00:01"/>
    <d v="1899-12-30T15:17:32"/>
    <d v="1899-12-30T07:17:31"/>
    <d v="1899-12-30T07:12:00"/>
    <d v="1899-12-30T00:05:31"/>
    <m/>
    <n v="8.8720429697916256E-2"/>
    <n v="1.0127700617283952"/>
  </r>
  <r>
    <x v="26"/>
    <x v="1"/>
    <x v="1"/>
    <x v="1"/>
    <x v="3"/>
    <d v="1899-12-30T01:14:24"/>
    <d v="1899-12-30T12:06:57"/>
    <d v="1899-12-30T18:01:18"/>
    <d v="1899-12-30T05:54:21"/>
    <d v="1899-12-30T06:00:00"/>
    <m/>
    <d v="1899-12-30T00:05:39"/>
    <n v="0.20996190207422036"/>
    <n v="0.98430555555555577"/>
  </r>
  <r>
    <x v="26"/>
    <x v="1"/>
    <x v="1"/>
    <x v="2"/>
    <x v="2"/>
    <d v="1899-12-30T00:23:18"/>
    <d v="1899-12-30T08:11:16"/>
    <d v="1899-12-30T15:40:52"/>
    <d v="1899-12-30T07:29:36"/>
    <d v="1899-12-30T07:12:00"/>
    <d v="1899-12-30T00:17:36"/>
    <m/>
    <n v="5.1823843416370113E-2"/>
    <n v="1.0407407407407407"/>
  </r>
  <r>
    <x v="26"/>
    <x v="1"/>
    <x v="1"/>
    <x v="3"/>
    <x v="0"/>
    <d v="1899-12-30T01:21:49"/>
    <d v="1899-12-30T08:01:07"/>
    <d v="1899-12-30T15:14:21"/>
    <d v="1899-12-30T07:13:14"/>
    <d v="1899-12-30T07:12:00"/>
    <d v="1899-12-30T00:01:14"/>
    <m/>
    <n v="0.18885127337077787"/>
    <n v="1.002854938271605"/>
  </r>
  <r>
    <x v="26"/>
    <x v="1"/>
    <x v="1"/>
    <x v="5"/>
    <x v="0"/>
    <d v="1899-12-30T01:03:11"/>
    <d v="1899-12-30T08:06:59"/>
    <d v="1899-12-30T15:42:14"/>
    <d v="1899-12-30T07:35:15"/>
    <d v="1899-12-30T07:12:00"/>
    <d v="1899-12-30T00:23:15"/>
    <m/>
    <n v="0.13878821160534507"/>
    <n v="1.0538194444444444"/>
  </r>
  <r>
    <x v="26"/>
    <x v="1"/>
    <x v="1"/>
    <x v="7"/>
    <x v="0"/>
    <d v="1899-12-30T00:57:03"/>
    <d v="1899-12-30T08:00:34"/>
    <d v="1899-12-30T15:52:29"/>
    <d v="1899-12-30T07:51:55"/>
    <d v="1899-12-30T07:12:00"/>
    <d v="1899-12-30T00:39:55"/>
    <m/>
    <n v="0.12088998763906057"/>
    <n v="1.0923996913580245"/>
  </r>
  <r>
    <x v="26"/>
    <x v="1"/>
    <x v="1"/>
    <x v="19"/>
    <x v="2"/>
    <d v="1899-12-30T00:38:54"/>
    <d v="1899-12-30T10:33:08"/>
    <d v="1899-12-30T18:00:29"/>
    <d v="1899-12-30T07:27:21"/>
    <d v="1899-12-30T07:12:00"/>
    <d v="1899-12-30T00:15:21"/>
    <m/>
    <n v="8.6956521739130432E-2"/>
    <n v="1.0355324074074075"/>
  </r>
  <r>
    <x v="26"/>
    <x v="1"/>
    <x v="1"/>
    <x v="10"/>
    <x v="3"/>
    <d v="1899-12-30T01:00:55"/>
    <d v="1899-12-30T08:26:57"/>
    <d v="1899-12-30T15:42:04"/>
    <d v="1899-12-30T07:15:07"/>
    <d v="1899-12-30T07:12:00"/>
    <d v="1899-12-30T00:03:07"/>
    <m/>
    <n v="0.14000076607806336"/>
    <n v="1.0072145061728395"/>
  </r>
  <r>
    <x v="26"/>
    <x v="1"/>
    <x v="1"/>
    <x v="11"/>
    <x v="4"/>
    <d v="1899-12-30T01:01:44"/>
    <d v="1899-12-30T08:00:06"/>
    <d v="1899-12-30T16:15:15"/>
    <d v="1899-12-30T08:15:09"/>
    <d v="1899-12-30T07:12:00"/>
    <d v="1899-12-30T01:03:09"/>
    <m/>
    <n v="0.12467602410044096"/>
    <n v="1.1461805555555555"/>
  </r>
  <r>
    <x v="26"/>
    <x v="1"/>
    <x v="1"/>
    <x v="13"/>
    <x v="0"/>
    <d v="1899-12-30T00:40:26"/>
    <d v="1899-12-30T08:01:14"/>
    <d v="1899-12-30T16:37:43"/>
    <d v="1899-12-30T08:36:29"/>
    <d v="1899-12-30T07:12:00"/>
    <d v="1899-12-30T01:24:29"/>
    <m/>
    <n v="7.8285843363774227E-2"/>
    <n v="1.1955632716049385"/>
  </r>
  <r>
    <x v="26"/>
    <x v="1"/>
    <x v="1"/>
    <x v="14"/>
    <x v="0"/>
    <d v="1899-12-30T00:55:40"/>
    <d v="1899-12-30T11:17:08"/>
    <d v="1899-12-30T18:00:23"/>
    <d v="1899-12-30T06:43:15"/>
    <d v="1899-12-30T07:12:00"/>
    <m/>
    <d v="1899-12-30T00:28:45"/>
    <n v="0.13804505063029551"/>
    <n v="0.93344907407407407"/>
  </r>
  <r>
    <x v="26"/>
    <x v="1"/>
    <x v="1"/>
    <x v="15"/>
    <x v="0"/>
    <d v="1899-12-30T01:04:59"/>
    <d v="1899-12-30T10:52:58"/>
    <d v="1899-12-30T18:00:53"/>
    <d v="1899-12-30T07:07:55"/>
    <d v="1899-12-30T07:12:00"/>
    <m/>
    <d v="1899-12-30T00:04:05"/>
    <n v="0.15185978578383641"/>
    <n v="0.99054783950617287"/>
  </r>
  <r>
    <x v="26"/>
    <x v="1"/>
    <x v="1"/>
    <x v="16"/>
    <x v="0"/>
    <d v="1899-12-30T01:21:54"/>
    <d v="1899-12-30T08:01:02"/>
    <d v="1899-12-30T16:05:35"/>
    <d v="1899-12-30T08:04:33"/>
    <d v="1899-12-30T07:12:00"/>
    <d v="1899-12-30T00:52:33"/>
    <m/>
    <n v="0.16902280466412134"/>
    <n v="1.1216435185185187"/>
  </r>
  <r>
    <x v="26"/>
    <x v="1"/>
    <x v="1"/>
    <x v="17"/>
    <x v="2"/>
    <d v="1899-12-30T00:44:25"/>
    <d v="1899-12-30T11:11:25"/>
    <d v="1899-12-30T18:07:35"/>
    <d v="1899-12-30T06:56:10"/>
    <d v="1899-12-30T07:12:00"/>
    <m/>
    <d v="1899-12-30T00:15:50"/>
    <n v="0.10672807368842613"/>
    <n v="0.96334876543209869"/>
  </r>
  <r>
    <x v="26"/>
    <x v="1"/>
    <x v="1"/>
    <x v="18"/>
    <x v="2"/>
    <d v="1899-12-30T00:32:35"/>
    <d v="1899-12-30T08:16:24"/>
    <d v="1899-12-30T15:32:39"/>
    <d v="1899-12-30T07:16:15"/>
    <d v="1899-12-30T07:12:00"/>
    <d v="1899-12-30T00:04:15"/>
    <m/>
    <n v="7.4689589302769824E-2"/>
    <n v="1.009837962962963"/>
  </r>
  <r>
    <x v="27"/>
    <x v="1"/>
    <x v="1"/>
    <x v="2"/>
    <x v="2"/>
    <d v="1899-12-30T00:32:16"/>
    <d v="1899-12-30T08:00:19"/>
    <d v="1899-12-30T15:25:59"/>
    <d v="1899-12-30T07:25:40"/>
    <d v="1899-12-30T07:12:00"/>
    <d v="1899-12-30T00:13:40"/>
    <m/>
    <n v="7.2400897531787592E-2"/>
    <n v="1.0316358024691359"/>
  </r>
  <r>
    <x v="27"/>
    <x v="1"/>
    <x v="1"/>
    <x v="3"/>
    <x v="0"/>
    <d v="1899-12-30T01:13:44"/>
    <d v="1899-12-30T08:01:33"/>
    <d v="1899-12-30T15:14:43"/>
    <d v="1899-12-30T07:13:10"/>
    <d v="1899-12-30T07:12:00"/>
    <d v="1899-12-30T00:01:10"/>
    <m/>
    <n v="0.17021931512120045"/>
    <n v="1.0027006172839508"/>
  </r>
  <r>
    <x v="27"/>
    <x v="1"/>
    <x v="1"/>
    <x v="5"/>
    <x v="0"/>
    <d v="1899-12-30T00:51:38"/>
    <d v="1899-12-30T09:34:08"/>
    <d v="1899-12-30T15:14:58"/>
    <d v="1899-12-30T05:40:50"/>
    <d v="1899-12-30T07:12:00"/>
    <m/>
    <d v="1899-12-30T01:31:10"/>
    <n v="0.15149144254278729"/>
    <n v="0.78896604938271608"/>
  </r>
  <r>
    <x v="27"/>
    <x v="1"/>
    <x v="1"/>
    <x v="7"/>
    <x v="0"/>
    <d v="1899-12-30T00:53:46"/>
    <d v="1899-12-30T08:00:34"/>
    <d v="1899-12-30T15:58:15"/>
    <d v="1899-12-30T07:57:41"/>
    <d v="1899-12-30T07:12:00"/>
    <d v="1899-12-30T00:45:41"/>
    <m/>
    <n v="0.11255713338683228"/>
    <n v="1.1057484567901235"/>
  </r>
  <r>
    <x v="27"/>
    <x v="1"/>
    <x v="1"/>
    <x v="19"/>
    <x v="2"/>
    <d v="1899-12-30T00:53:06"/>
    <d v="1899-12-30T10:55:46"/>
    <d v="1899-12-30T18:11:54"/>
    <d v="1899-12-30T07:16:08"/>
    <d v="1899-12-30T07:12:00"/>
    <d v="1899-12-30T00:04:08"/>
    <m/>
    <n v="0.12175175787221033"/>
    <n v="1.009567901234568"/>
  </r>
  <r>
    <x v="27"/>
    <x v="1"/>
    <x v="1"/>
    <x v="10"/>
    <x v="3"/>
    <d v="1899-12-30T01:13:48"/>
    <d v="1899-12-30T08:00:33"/>
    <d v="1899-12-30T15:12:16"/>
    <d v="1899-12-30T07:11:43"/>
    <d v="1899-12-30T07:12:00"/>
    <m/>
    <d v="1899-12-30T00:00:17"/>
    <n v="0.17094545033393815"/>
    <n v="0.99934413580246906"/>
  </r>
  <r>
    <x v="27"/>
    <x v="1"/>
    <x v="1"/>
    <x v="11"/>
    <x v="4"/>
    <d v="1899-12-30T00:53:03"/>
    <d v="1899-12-30T08:00:03"/>
    <d v="1899-12-30T15:50:52"/>
    <d v="1899-12-30T07:50:49"/>
    <d v="1899-12-30T07:12:00"/>
    <d v="1899-12-30T00:38:49"/>
    <m/>
    <n v="0.11267655492229811"/>
    <n v="1.0898533950617286"/>
  </r>
  <r>
    <x v="27"/>
    <x v="1"/>
    <x v="1"/>
    <x v="13"/>
    <x v="0"/>
    <d v="1899-12-30T00:46:26"/>
    <d v="1899-12-30T08:00:03"/>
    <d v="1899-12-30T15:54:27"/>
    <d v="1899-12-30T07:54:24"/>
    <d v="1899-12-30T07:12:00"/>
    <d v="1899-12-30T00:42:24"/>
    <m/>
    <n v="9.787802136031476E-2"/>
    <n v="1.0981481481481483"/>
  </r>
  <r>
    <x v="27"/>
    <x v="1"/>
    <x v="1"/>
    <x v="14"/>
    <x v="0"/>
    <d v="1899-12-30T01:14:20"/>
    <d v="1899-12-30T10:07:30"/>
    <d v="1899-12-30T18:00:14"/>
    <d v="1899-12-30T07:52:44"/>
    <d v="1899-12-30T07:12:00"/>
    <d v="1899-12-30T00:40:44"/>
    <m/>
    <n v="0.15724157382597662"/>
    <n v="1.0942901234567901"/>
  </r>
  <r>
    <x v="27"/>
    <x v="1"/>
    <x v="1"/>
    <x v="15"/>
    <x v="0"/>
    <d v="1899-12-30T01:08:18"/>
    <d v="1899-12-30T11:09:44"/>
    <d v="1899-12-30T18:02:06"/>
    <d v="1899-12-30T06:52:22"/>
    <d v="1899-12-30T07:12:00"/>
    <m/>
    <d v="1899-12-30T00:19:38"/>
    <n v="0.1656292943173551"/>
    <n v="0.95455246913580249"/>
  </r>
  <r>
    <x v="27"/>
    <x v="1"/>
    <x v="1"/>
    <x v="16"/>
    <x v="0"/>
    <d v="1899-12-30T01:21:08"/>
    <d v="1899-12-30T08:03:04"/>
    <d v="1899-12-30T15:13:39"/>
    <d v="1899-12-30T07:10:35"/>
    <d v="1899-12-30T07:12:00"/>
    <m/>
    <d v="1899-12-30T00:01:25"/>
    <n v="0.18842655312560477"/>
    <n v="0.99672067901234584"/>
  </r>
  <r>
    <x v="27"/>
    <x v="1"/>
    <x v="1"/>
    <x v="17"/>
    <x v="2"/>
    <d v="1899-12-30T00:50:36"/>
    <d v="1899-12-30T11:00:21"/>
    <d v="1899-12-30T18:06:45"/>
    <d v="1899-12-30T07:06:24"/>
    <d v="1899-12-30T07:12:00"/>
    <m/>
    <d v="1899-12-30T00:05:36"/>
    <n v="0.11866791744840527"/>
    <n v="0.98703703703703682"/>
  </r>
  <r>
    <x v="27"/>
    <x v="1"/>
    <x v="1"/>
    <x v="18"/>
    <x v="2"/>
    <d v="1899-12-30T00:29:28"/>
    <d v="1899-12-30T08:03:14"/>
    <d v="1899-12-30T15:14:07"/>
    <d v="1899-12-30T07:10:53"/>
    <d v="1899-12-30T07:12:00"/>
    <m/>
    <d v="1899-12-30T00:01:07"/>
    <n v="6.8386647584419591E-2"/>
    <n v="0.9974151234567904"/>
  </r>
  <r>
    <x v="28"/>
    <x v="1"/>
    <x v="1"/>
    <x v="1"/>
    <x v="3"/>
    <d v="1899-12-30T00:57:49"/>
    <d v="1899-12-30T12:12:48"/>
    <d v="1899-12-30T18:00:41"/>
    <d v="1899-12-30T05:47:53"/>
    <d v="1899-12-30T06:00:00"/>
    <m/>
    <d v="1899-12-30T00:12:07"/>
    <n v="0.16619556364681642"/>
    <n v="0.96634259259259281"/>
  </r>
  <r>
    <x v="28"/>
    <x v="1"/>
    <x v="1"/>
    <x v="2"/>
    <x v="2"/>
    <d v="1899-12-30T00:42:05"/>
    <d v="1899-12-30T08:00:23"/>
    <d v="1899-12-30T15:25:29"/>
    <d v="1899-12-30T07:25:06"/>
    <d v="1899-12-30T07:12:00"/>
    <d v="1899-12-30T00:13:06"/>
    <m/>
    <n v="9.4548041638583089E-2"/>
    <n v="1.0303240740740742"/>
  </r>
  <r>
    <x v="28"/>
    <x v="1"/>
    <x v="1"/>
    <x v="3"/>
    <x v="0"/>
    <d v="1899-12-30T01:11:09"/>
    <d v="1899-12-30T08:00:30"/>
    <d v="1899-12-30T15:13:56"/>
    <d v="1899-12-30T07:13:26"/>
    <d v="1899-12-30T07:12:00"/>
    <d v="1899-12-30T00:01:26"/>
    <m/>
    <n v="0.16415442590171497"/>
    <n v="1.0033179012345681"/>
  </r>
  <r>
    <x v="28"/>
    <x v="1"/>
    <x v="1"/>
    <x v="5"/>
    <x v="0"/>
    <d v="1899-12-30T01:08:47"/>
    <d v="1899-12-30T08:07:31"/>
    <d v="1899-12-30T15:34:15"/>
    <d v="1899-12-30T07:26:44"/>
    <d v="1899-12-30T07:12:00"/>
    <d v="1899-12-30T00:14:44"/>
    <m/>
    <n v="0.15396955678256974"/>
    <n v="1.0341049382716052"/>
  </r>
  <r>
    <x v="28"/>
    <x v="1"/>
    <x v="1"/>
    <x v="7"/>
    <x v="0"/>
    <d v="1899-12-30T00:49:54"/>
    <d v="1899-12-30T08:00:00"/>
    <d v="1899-12-30T15:13:37"/>
    <d v="1899-12-30T07:13:37"/>
    <d v="1899-12-30T07:12:00"/>
    <d v="1899-12-30T00:01:37"/>
    <m/>
    <n v="0.11507860245224275"/>
    <n v="1.0037422839506174"/>
  </r>
  <r>
    <x v="28"/>
    <x v="1"/>
    <x v="1"/>
    <x v="19"/>
    <x v="2"/>
    <d v="1899-12-30T00:52:11"/>
    <d v="1899-12-30T09:55:40"/>
    <d v="1899-12-30T18:00:40"/>
    <d v="1899-12-30T08:05:00"/>
    <d v="1899-12-30T07:12:00"/>
    <d v="1899-12-30T00:53:00"/>
    <m/>
    <n v="0.10759450171821304"/>
    <n v="1.1226851851851853"/>
  </r>
  <r>
    <x v="28"/>
    <x v="1"/>
    <x v="1"/>
    <x v="10"/>
    <x v="3"/>
    <d v="1899-12-30T01:08:14"/>
    <d v="1899-12-30T08:00:59"/>
    <d v="1899-12-30T15:12:43"/>
    <d v="1899-12-30T07:11:44"/>
    <d v="1899-12-30T07:12:00"/>
    <m/>
    <d v="1899-12-30T00:00:16"/>
    <n v="0.15804508956145769"/>
    <n v="0.99938271604938278"/>
  </r>
  <r>
    <x v="28"/>
    <x v="1"/>
    <x v="1"/>
    <x v="11"/>
    <x v="4"/>
    <d v="1899-12-30T00:57:10"/>
    <d v="1899-12-30T08:00:06"/>
    <d v="1899-12-30T15:14:15"/>
    <d v="1899-12-30T07:14:09"/>
    <d v="1899-12-30T07:12:00"/>
    <d v="1899-12-30T00:02:09"/>
    <m/>
    <n v="0.13167492034243158"/>
    <n v="1.0049768518518518"/>
  </r>
  <r>
    <x v="28"/>
    <x v="1"/>
    <x v="1"/>
    <x v="13"/>
    <x v="0"/>
    <d v="1899-12-30T00:48:38"/>
    <d v="1899-12-30T08:00:39"/>
    <d v="1899-12-30T15:12:43"/>
    <d v="1899-12-30T07:12:04"/>
    <d v="1899-12-30T07:12:00"/>
    <d v="1899-12-30T00:00:04"/>
    <m/>
    <n v="0.11255979015584015"/>
    <n v="1.0001543209876544"/>
  </r>
  <r>
    <x v="28"/>
    <x v="1"/>
    <x v="1"/>
    <x v="14"/>
    <x v="0"/>
    <d v="1899-12-30T01:10:10"/>
    <d v="1899-12-30T10:48:00"/>
    <d v="1899-12-30T18:00:38"/>
    <d v="1899-12-30T07:12:38"/>
    <d v="1899-12-30T07:12:00"/>
    <d v="1899-12-30T00:00:38"/>
    <m/>
    <n v="0.16218506818707143"/>
    <n v="1.0014660493827161"/>
  </r>
  <r>
    <x v="28"/>
    <x v="1"/>
    <x v="1"/>
    <x v="15"/>
    <x v="0"/>
    <d v="1899-12-30T01:05:11"/>
    <d v="1899-12-30T10:36:25"/>
    <d v="1899-12-30T18:00:19"/>
    <d v="1899-12-30T07:23:54"/>
    <d v="1899-12-30T07:12:00"/>
    <d v="1899-12-30T00:11:54"/>
    <m/>
    <n v="0.14684238191784937"/>
    <n v="1.0275462962962965"/>
  </r>
  <r>
    <x v="28"/>
    <x v="1"/>
    <x v="1"/>
    <x v="16"/>
    <x v="0"/>
    <d v="1899-12-30T01:16:46"/>
    <d v="1899-12-30T08:13:21"/>
    <d v="1899-12-30T15:12:38"/>
    <d v="1899-12-30T06:59:17"/>
    <d v="1899-12-30T07:12:00"/>
    <m/>
    <d v="1899-12-30T00:12:43"/>
    <n v="0.18309019358429066"/>
    <n v="0.97056327160493827"/>
  </r>
  <r>
    <x v="28"/>
    <x v="1"/>
    <x v="1"/>
    <x v="17"/>
    <x v="2"/>
    <d v="1899-12-30T00:49:34"/>
    <d v="1899-12-30T10:47:59"/>
    <d v="1899-12-30T18:04:44"/>
    <d v="1899-12-30T07:16:45"/>
    <d v="1899-12-30T07:12:00"/>
    <d v="1899-12-30T00:04:45"/>
    <m/>
    <n v="0.11348979202442282"/>
    <n v="1.0109953703703705"/>
  </r>
  <r>
    <x v="28"/>
    <x v="1"/>
    <x v="1"/>
    <x v="18"/>
    <x v="2"/>
    <d v="1899-12-30T00:43:31"/>
    <d v="1899-12-30T09:32:40"/>
    <d v="1899-12-30T15:29:34"/>
    <d v="1899-12-30T05:56:54"/>
    <d v="1899-12-30T07:12:00"/>
    <m/>
    <d v="1899-12-30T01:15:06"/>
    <n v="0.12192957878023726"/>
    <n v="0.82615740740740728"/>
  </r>
  <r>
    <x v="29"/>
    <x v="1"/>
    <x v="1"/>
    <x v="1"/>
    <x v="3"/>
    <d v="1899-12-30T00:57:26"/>
    <d v="1899-12-30T12:37:21"/>
    <d v="1899-12-30T18:00:24"/>
    <d v="1899-12-30T05:23:03"/>
    <d v="1899-12-30T06:00:00"/>
    <m/>
    <d v="1899-12-30T00:36:57"/>
    <n v="0.177784656657896"/>
    <n v="0.8973611111111115"/>
  </r>
  <r>
    <x v="29"/>
    <x v="1"/>
    <x v="1"/>
    <x v="2"/>
    <x v="2"/>
    <d v="1899-12-30T00:25:34"/>
    <d v="1899-12-30T08:00:31"/>
    <d v="1899-12-30T15:27:06"/>
    <d v="1899-12-30T07:26:35"/>
    <d v="1899-12-30T07:12:00"/>
    <d v="1899-12-30T00:14:35"/>
    <m/>
    <n v="5.7249486844560549E-2"/>
    <n v="1.0337577160493829"/>
  </r>
  <r>
    <x v="29"/>
    <x v="1"/>
    <x v="1"/>
    <x v="3"/>
    <x v="0"/>
    <d v="1899-12-30T01:11:29"/>
    <d v="1899-12-30T08:02:54"/>
    <d v="1899-12-30T15:12:53"/>
    <d v="1899-12-30T07:09:59"/>
    <d v="1899-12-30T07:12:00"/>
    <m/>
    <d v="1899-12-30T00:02:01"/>
    <n v="0.16624675375014536"/>
    <n v="0.99533179012345674"/>
  </r>
  <r>
    <x v="29"/>
    <x v="1"/>
    <x v="1"/>
    <x v="7"/>
    <x v="0"/>
    <d v="1899-12-30T00:38:55"/>
    <d v="1899-12-30T08:00:00"/>
    <d v="1899-12-30T14:01:01"/>
    <d v="1899-12-30T06:01:01"/>
    <d v="1899-12-30T07:12:00"/>
    <m/>
    <d v="1899-12-30T01:10:59"/>
    <n v="0.10779742394164626"/>
    <n v="0.83568672839506186"/>
  </r>
  <r>
    <x v="29"/>
    <x v="1"/>
    <x v="1"/>
    <x v="19"/>
    <x v="2"/>
    <d v="1899-12-30T00:51:55"/>
    <d v="1899-12-30T10:08:21"/>
    <d v="1899-12-30T18:06:53"/>
    <d v="1899-12-30T07:58:32"/>
    <d v="1899-12-30T07:12:00"/>
    <d v="1899-12-30T00:46:32"/>
    <m/>
    <n v="0.10849122318194482"/>
    <n v="1.1077160493827163"/>
  </r>
  <r>
    <x v="29"/>
    <x v="1"/>
    <x v="1"/>
    <x v="11"/>
    <x v="4"/>
    <d v="1899-12-30T01:07:54"/>
    <d v="1899-12-30T08:00:01"/>
    <d v="1899-12-30T15:23:30"/>
    <d v="1899-12-30T07:23:29"/>
    <d v="1899-12-30T07:12:00"/>
    <d v="1899-12-30T00:11:29"/>
    <m/>
    <n v="0.15310609192378519"/>
    <n v="1.0265817901234568"/>
  </r>
  <r>
    <x v="29"/>
    <x v="1"/>
    <x v="1"/>
    <x v="13"/>
    <x v="0"/>
    <d v="1899-12-30T00:49:21"/>
    <d v="1899-12-30T08:00:35"/>
    <d v="1899-12-30T15:28:02"/>
    <d v="1899-12-30T07:27:27"/>
    <d v="1899-12-30T07:12:00"/>
    <d v="1899-12-30T00:15:27"/>
    <m/>
    <n v="0.11029165269862556"/>
    <n v="1.0357638888888887"/>
  </r>
  <r>
    <x v="29"/>
    <x v="1"/>
    <x v="1"/>
    <x v="14"/>
    <x v="0"/>
    <d v="1899-12-30T01:04:50"/>
    <d v="1899-12-30T10:55:27"/>
    <d v="1899-12-30T18:00:32"/>
    <d v="1899-12-30T07:05:05"/>
    <d v="1899-12-30T07:12:00"/>
    <m/>
    <d v="1899-12-30T00:06:55"/>
    <n v="0.15251911389923545"/>
    <n v="0.98398919753086422"/>
  </r>
  <r>
    <x v="29"/>
    <x v="1"/>
    <x v="1"/>
    <x v="15"/>
    <x v="0"/>
    <d v="1899-12-30T01:03:37"/>
    <d v="1899-12-30T10:52:32"/>
    <d v="1899-12-30T18:00:27"/>
    <d v="1899-12-30T07:07:55"/>
    <d v="1899-12-30T07:12:00"/>
    <m/>
    <d v="1899-12-30T00:04:05"/>
    <n v="0.14866601752677699"/>
    <n v="0.99054783950617309"/>
  </r>
  <r>
    <x v="29"/>
    <x v="1"/>
    <x v="1"/>
    <x v="16"/>
    <x v="0"/>
    <d v="1899-12-30T01:17:08"/>
    <d v="1899-12-30T08:01:53"/>
    <d v="1899-12-30T15:15:24"/>
    <d v="1899-12-30T07:13:31"/>
    <d v="1899-12-30T07:12:00"/>
    <d v="1899-12-30T00:01:31"/>
    <m/>
    <n v="0.17792472415516511"/>
    <n v="1.0035108024691359"/>
  </r>
  <r>
    <x v="29"/>
    <x v="1"/>
    <x v="1"/>
    <x v="17"/>
    <x v="2"/>
    <d v="1899-12-30T00:43:46"/>
    <d v="1899-12-30T10:56:17"/>
    <d v="1899-12-30T18:06:41"/>
    <d v="1899-12-30T07:10:24"/>
    <d v="1899-12-30T07:12:00"/>
    <m/>
    <d v="1899-12-30T00:01:36"/>
    <n v="0.10168835192069393"/>
    <n v="0.99629629629629624"/>
  </r>
  <r>
    <x v="29"/>
    <x v="1"/>
    <x v="1"/>
    <x v="18"/>
    <x v="2"/>
    <d v="1899-12-30T00:19:08"/>
    <d v="1899-12-30T11:22:45"/>
    <d v="1899-12-30T15:28:14"/>
    <d v="1899-12-30T04:05:29"/>
    <d v="1899-12-30T07:12:00"/>
    <m/>
    <d v="1899-12-30T03:06:31"/>
    <n v="7.7941475999728435E-2"/>
    <n v="0.56824845679012348"/>
  </r>
  <r>
    <x v="30"/>
    <x v="1"/>
    <x v="1"/>
    <x v="2"/>
    <x v="2"/>
    <d v="1899-12-30T00:34:14"/>
    <d v="1899-12-30T08:07:59"/>
    <d v="1899-12-30T15:26:16"/>
    <d v="1899-12-30T07:18:17"/>
    <d v="1899-12-30T07:12:00"/>
    <d v="1899-12-30T00:06:17"/>
    <m/>
    <n v="7.8107768947028158E-2"/>
    <n v="1.01454475308642"/>
  </r>
  <r>
    <x v="30"/>
    <x v="1"/>
    <x v="1"/>
    <x v="3"/>
    <x v="0"/>
    <d v="1899-12-30T01:14:45"/>
    <d v="1899-12-30T08:00:39"/>
    <d v="1899-12-30T15:14:16"/>
    <d v="1899-12-30T07:13:37"/>
    <d v="1899-12-30T07:12:00"/>
    <d v="1899-12-30T00:01:37"/>
    <m/>
    <n v="0.17238728523657612"/>
    <n v="1.0037422839506172"/>
  </r>
  <r>
    <x v="30"/>
    <x v="1"/>
    <x v="1"/>
    <x v="5"/>
    <x v="0"/>
    <d v="1899-12-30T01:25:02"/>
    <d v="1899-12-30T08:05:25"/>
    <d v="1899-12-30T15:14:06"/>
    <d v="1899-12-30T07:08:41"/>
    <d v="1899-12-30T07:12:00"/>
    <m/>
    <d v="1899-12-30T00:03:19"/>
    <n v="0.19835931728937442"/>
    <n v="0.99232253086419753"/>
  </r>
  <r>
    <x v="30"/>
    <x v="1"/>
    <x v="1"/>
    <x v="7"/>
    <x v="0"/>
    <d v="1899-12-30T01:27:29"/>
    <d v="1899-12-30T08:00:00"/>
    <d v="1899-12-30T15:12:46"/>
    <d v="1899-12-30T07:12:46"/>
    <d v="1899-12-30T07:12:00"/>
    <d v="1899-12-30T00:00:46"/>
    <m/>
    <n v="0.20214896402988522"/>
    <n v="1.0017746913580248"/>
  </r>
  <r>
    <x v="30"/>
    <x v="1"/>
    <x v="1"/>
    <x v="19"/>
    <x v="2"/>
    <d v="1899-12-30T00:38:01"/>
    <d v="1899-12-30T09:49:51"/>
    <d v="1899-12-30T18:09:24"/>
    <d v="1899-12-30T08:19:33"/>
    <d v="1899-12-30T07:12:00"/>
    <d v="1899-12-30T01:07:33"/>
    <m/>
    <n v="7.6101824975811569E-2"/>
    <n v="1.1563657407407408"/>
  </r>
  <r>
    <x v="30"/>
    <x v="1"/>
    <x v="1"/>
    <x v="11"/>
    <x v="4"/>
    <d v="1899-12-30T01:42:47"/>
    <d v="1899-12-30T08:24:56"/>
    <d v="1899-12-30T15:16:28"/>
    <d v="1899-12-30T06:51:32"/>
    <d v="1899-12-30T07:12:00"/>
    <m/>
    <d v="1899-12-30T00:20:28"/>
    <n v="0.24975700631783573"/>
    <n v="0.95262345679012339"/>
  </r>
  <r>
    <x v="30"/>
    <x v="1"/>
    <x v="1"/>
    <x v="13"/>
    <x v="0"/>
    <d v="1899-12-30T01:30:40"/>
    <d v="1899-12-30T08:01:13"/>
    <d v="1899-12-30T15:13:48"/>
    <d v="1899-12-30T07:12:35"/>
    <d v="1899-12-30T07:12:00"/>
    <d v="1899-12-30T00:00:35"/>
    <m/>
    <n v="0.20959352725871697"/>
    <n v="1.0013503086419755"/>
  </r>
  <r>
    <x v="30"/>
    <x v="1"/>
    <x v="1"/>
    <x v="14"/>
    <x v="0"/>
    <d v="1899-12-30T01:12:19"/>
    <d v="1899-12-30T10:58:53"/>
    <d v="1899-12-30T18:00:30"/>
    <d v="1899-12-30T07:01:37"/>
    <d v="1899-12-30T07:12:00"/>
    <m/>
    <d v="1899-12-30T00:10:23"/>
    <n v="0.17152231489899986"/>
    <n v="0.9759645061728397"/>
  </r>
  <r>
    <x v="30"/>
    <x v="1"/>
    <x v="1"/>
    <x v="16"/>
    <x v="0"/>
    <d v="1899-12-30T02:08:36"/>
    <d v="1899-12-30T08:01:37"/>
    <d v="1899-12-30T15:12:49"/>
    <d v="1899-12-30T07:11:12"/>
    <d v="1899-12-30T07:12:00"/>
    <m/>
    <d v="1899-12-30T00:00:48"/>
    <n v="0.29823747680890539"/>
    <n v="0.99814814814814823"/>
  </r>
  <r>
    <x v="30"/>
    <x v="1"/>
    <x v="1"/>
    <x v="17"/>
    <x v="2"/>
    <d v="1899-12-30T00:36:47"/>
    <d v="1899-12-30T10:11:16"/>
    <d v="1899-12-30T18:08:00"/>
    <d v="1899-12-30T07:56:44"/>
    <d v="1899-12-30T07:12:00"/>
    <d v="1899-12-30T00:44:44"/>
    <m/>
    <n v="7.7157040973290444E-2"/>
    <n v="1.1035493827160494"/>
  </r>
  <r>
    <x v="30"/>
    <x v="1"/>
    <x v="1"/>
    <x v="18"/>
    <x v="2"/>
    <d v="1899-12-30T00:39:09"/>
    <d v="1899-12-30T08:06:09"/>
    <d v="1899-12-30T15:12:00"/>
    <d v="1899-12-30T07:05:51"/>
    <d v="1899-12-30T07:12:00"/>
    <m/>
    <d v="1899-12-30T00:06:09"/>
    <n v="9.1933779499823884E-2"/>
    <n v="0.98576388888888888"/>
  </r>
  <r>
    <x v="31"/>
    <x v="1"/>
    <x v="1"/>
    <x v="1"/>
    <x v="3"/>
    <d v="1899-12-30T01:03:16"/>
    <d v="1899-12-30T12:38:14"/>
    <d v="1899-12-30T18:00:08"/>
    <d v="1899-12-30T05:21:54"/>
    <d v="1899-12-30T06:00:00"/>
    <m/>
    <d v="1899-12-30T00:38:06"/>
    <n v="0.196541368955162"/>
    <n v="0.894166666666667"/>
  </r>
  <r>
    <x v="31"/>
    <x v="1"/>
    <x v="1"/>
    <x v="2"/>
    <x v="2"/>
    <d v="1899-12-30T00:32:07"/>
    <d v="1899-12-30T08:20:44"/>
    <d v="1899-12-30T15:14:46"/>
    <d v="1899-12-30T06:54:02"/>
    <d v="1899-12-30T07:12:00"/>
    <m/>
    <d v="1899-12-30T00:17:58"/>
    <n v="7.7570243941711609E-2"/>
    <n v="0.95841049382716059"/>
  </r>
  <r>
    <x v="31"/>
    <x v="1"/>
    <x v="1"/>
    <x v="3"/>
    <x v="0"/>
    <d v="1899-12-30T01:11:55"/>
    <d v="1899-12-30T08:00:29"/>
    <d v="1899-12-30T15:14:55"/>
    <d v="1899-12-30T07:14:26"/>
    <d v="1899-12-30T07:12:00"/>
    <d v="1899-12-30T00:02:26"/>
    <m/>
    <n v="0.16554131819228113"/>
    <n v="1.0056327160493828"/>
  </r>
  <r>
    <x v="31"/>
    <x v="1"/>
    <x v="1"/>
    <x v="5"/>
    <x v="0"/>
    <d v="1899-12-30T00:58:31"/>
    <d v="1899-12-30T08:12:19"/>
    <d v="1899-12-30T15:13:52"/>
    <d v="1899-12-30T07:01:33"/>
    <d v="1899-12-30T07:12:00"/>
    <m/>
    <d v="1899-12-30T00:10:27"/>
    <n v="0.13881311034673624"/>
    <n v="0.97581018518518525"/>
  </r>
  <r>
    <x v="31"/>
    <x v="1"/>
    <x v="1"/>
    <x v="7"/>
    <x v="0"/>
    <d v="1899-12-30T00:46:54"/>
    <d v="1899-12-30T08:00:00"/>
    <d v="1899-12-30T15:14:49"/>
    <d v="1899-12-30T07:14:49"/>
    <d v="1899-12-30T07:12:00"/>
    <d v="1899-12-30T00:02:49"/>
    <m/>
    <n v="0.10786155084518377"/>
    <n v="1.0065200617283951"/>
  </r>
  <r>
    <x v="31"/>
    <x v="1"/>
    <x v="1"/>
    <x v="19"/>
    <x v="2"/>
    <d v="1899-12-30T00:40:30"/>
    <d v="1899-12-30T10:19:02"/>
    <d v="1899-12-30T18:07:40"/>
    <d v="1899-12-30T07:48:38"/>
    <d v="1899-12-30T07:12:00"/>
    <d v="1899-12-30T00:36:38"/>
    <m/>
    <n v="8.6421509353439077E-2"/>
    <n v="1.0847993827160494"/>
  </r>
  <r>
    <x v="31"/>
    <x v="1"/>
    <x v="1"/>
    <x v="10"/>
    <x v="3"/>
    <d v="1899-12-30T00:57:24"/>
    <d v="1899-12-30T08:01:41"/>
    <d v="1899-12-30T15:12:46"/>
    <d v="1899-12-30T07:11:05"/>
    <d v="1899-12-30T07:12:00"/>
    <m/>
    <d v="1899-12-30T00:00:55"/>
    <n v="0.13315290933694179"/>
    <n v="0.99787808641975329"/>
  </r>
  <r>
    <x v="31"/>
    <x v="1"/>
    <x v="1"/>
    <x v="11"/>
    <x v="4"/>
    <d v="1899-12-30T00:50:57"/>
    <d v="1899-12-30T08:21:21"/>
    <d v="1899-12-30T15:18:07"/>
    <d v="1899-12-30T06:56:46"/>
    <d v="1899-12-30T07:12:00"/>
    <m/>
    <d v="1899-12-30T00:15:14"/>
    <n v="0.12225065984163801"/>
    <n v="0.96473765432098779"/>
  </r>
  <r>
    <x v="31"/>
    <x v="1"/>
    <x v="1"/>
    <x v="13"/>
    <x v="0"/>
    <d v="1899-12-30T00:43:36"/>
    <d v="1899-12-30T08:01:12"/>
    <d v="1899-12-30T15:16:53"/>
    <d v="1899-12-30T07:15:41"/>
    <d v="1899-12-30T07:12:00"/>
    <d v="1899-12-30T00:03:41"/>
    <m/>
    <n v="0.10007268275888452"/>
    <n v="1.0085262345679011"/>
  </r>
  <r>
    <x v="31"/>
    <x v="1"/>
    <x v="1"/>
    <x v="14"/>
    <x v="0"/>
    <d v="1899-12-30T01:08:17"/>
    <d v="1899-12-30T10:46:30"/>
    <d v="1899-12-30T18:00:15"/>
    <d v="1899-12-30T07:13:45"/>
    <d v="1899-12-30T07:12:00"/>
    <d v="1899-12-30T00:01:45"/>
    <m/>
    <n v="0.15742555235350622"/>
    <n v="1.004050925925926"/>
  </r>
  <r>
    <x v="31"/>
    <x v="1"/>
    <x v="1"/>
    <x v="15"/>
    <x v="0"/>
    <d v="1899-12-30T01:04:02"/>
    <d v="1899-12-30T10:56:29"/>
    <d v="1899-12-30T18:00:07"/>
    <d v="1899-12-30T07:03:38"/>
    <d v="1899-12-30T07:12:00"/>
    <m/>
    <d v="1899-12-30T00:08:22"/>
    <n v="0.15115272641435207"/>
    <n v="0.98063271604938262"/>
  </r>
  <r>
    <x v="31"/>
    <x v="1"/>
    <x v="1"/>
    <x v="16"/>
    <x v="0"/>
    <d v="1899-12-30T00:18:07"/>
    <d v="1899-12-30T08:01:06"/>
    <d v="1899-12-30T15:12:00"/>
    <d v="1899-12-30T07:10:54"/>
    <d v="1899-12-30T07:12:00"/>
    <m/>
    <d v="1899-12-30T00:01:06"/>
    <n v="4.2043784327376814E-2"/>
    <n v="0.99745370370370368"/>
  </r>
  <r>
    <x v="31"/>
    <x v="1"/>
    <x v="1"/>
    <x v="17"/>
    <x v="2"/>
    <d v="1899-12-30T00:15:23"/>
    <d v="1899-12-30T10:56:40"/>
    <d v="1899-12-30T18:09:14"/>
    <d v="1899-12-30T07:12:34"/>
    <d v="1899-12-30T07:12:00"/>
    <d v="1899-12-30T00:00:34"/>
    <m/>
    <n v="3.5562919010557137E-2"/>
    <n v="1.0013117283950619"/>
  </r>
  <r>
    <x v="31"/>
    <x v="1"/>
    <x v="1"/>
    <x v="18"/>
    <x v="2"/>
    <d v="1899-12-30T01:00:38"/>
    <d v="1899-12-30T08:00:06"/>
    <d v="1899-12-30T15:16:47"/>
    <d v="1899-12-30T07:16:41"/>
    <d v="1899-12-30T07:12:00"/>
    <d v="1899-12-30T00:04:41"/>
    <m/>
    <n v="0.13884966222663259"/>
    <n v="1.010841049382716"/>
  </r>
  <r>
    <x v="32"/>
    <x v="1"/>
    <x v="1"/>
    <x v="1"/>
    <x v="3"/>
    <d v="1899-12-30T00:59:08"/>
    <d v="1899-12-30T12:15:18"/>
    <d v="1899-12-30T18:00:12"/>
    <d v="1899-12-30T05:44:54"/>
    <d v="1899-12-30T06:00:00"/>
    <m/>
    <d v="1899-12-30T00:15:06"/>
    <n v="0.17145066202764087"/>
    <n v="0.95805555555555566"/>
  </r>
  <r>
    <x v="32"/>
    <x v="1"/>
    <x v="1"/>
    <x v="2"/>
    <x v="2"/>
    <d v="1899-12-30T00:42:49"/>
    <d v="1899-12-30T08:00:40"/>
    <d v="1899-12-30T15:13:57"/>
    <d v="1899-12-30T07:13:17"/>
    <d v="1899-12-30T07:12:00"/>
    <d v="1899-12-30T00:01:17"/>
    <m/>
    <n v="9.881909451090512E-2"/>
    <n v="1.0029706790123456"/>
  </r>
  <r>
    <x v="32"/>
    <x v="1"/>
    <x v="1"/>
    <x v="3"/>
    <x v="0"/>
    <d v="1899-12-30T01:13:47"/>
    <d v="1899-12-30T08:05:16"/>
    <d v="1899-12-30T15:13:29"/>
    <d v="1899-12-30T07:08:13"/>
    <d v="1899-12-30T07:12:00"/>
    <m/>
    <d v="1899-12-30T00:03:47"/>
    <n v="0.1723037403183747"/>
    <n v="0.99124228395061709"/>
  </r>
  <r>
    <x v="32"/>
    <x v="1"/>
    <x v="1"/>
    <x v="5"/>
    <x v="0"/>
    <d v="1899-12-30T01:00:25"/>
    <d v="1899-12-30T08:08:39"/>
    <d v="1899-12-30T15:32:45"/>
    <d v="1899-12-30T07:24:06"/>
    <d v="1899-12-30T07:12:00"/>
    <d v="1899-12-30T00:12:06"/>
    <m/>
    <n v="0.13604293327328679"/>
    <n v="1.0280092592592593"/>
  </r>
  <r>
    <x v="32"/>
    <x v="1"/>
    <x v="1"/>
    <x v="7"/>
    <x v="0"/>
    <d v="1899-12-30T01:09:19"/>
    <d v="1899-12-30T08:00:00"/>
    <d v="1899-12-30T15:13:10"/>
    <d v="1899-12-30T07:13:10"/>
    <d v="1899-12-30T07:12:00"/>
    <d v="1899-12-30T00:01:10"/>
    <m/>
    <n v="0.16002308580223165"/>
    <n v="1.0027006172839505"/>
  </r>
  <r>
    <x v="32"/>
    <x v="1"/>
    <x v="1"/>
    <x v="19"/>
    <x v="2"/>
    <d v="1899-12-30T00:46:59"/>
    <d v="1899-12-30T10:16:56"/>
    <d v="1899-12-30T18:00:21"/>
    <d v="1899-12-30T07:43:25"/>
    <d v="1899-12-30T07:12:00"/>
    <d v="1899-12-30T00:31:25"/>
    <m/>
    <n v="0.10138464304981118"/>
    <n v="1.0727237654320989"/>
  </r>
  <r>
    <x v="32"/>
    <x v="1"/>
    <x v="1"/>
    <x v="10"/>
    <x v="3"/>
    <d v="1899-12-30T01:19:08"/>
    <d v="1899-12-30T08:00:03"/>
    <d v="1899-12-30T15:12:33"/>
    <d v="1899-12-30T07:12:30"/>
    <d v="1899-12-30T07:12:00"/>
    <d v="1899-12-30T00:00:30"/>
    <m/>
    <n v="0.18296724470134873"/>
    <n v="1.0011574074074077"/>
  </r>
  <r>
    <x v="32"/>
    <x v="1"/>
    <x v="1"/>
    <x v="11"/>
    <x v="4"/>
    <d v="1899-12-30T01:07:31"/>
    <d v="1899-12-30T08:00:08"/>
    <d v="1899-12-30T15:15:56"/>
    <d v="1899-12-30T07:15:48"/>
    <d v="1899-12-30T07:12:00"/>
    <d v="1899-12-30T00:03:48"/>
    <m/>
    <n v="0.15492580694508185"/>
    <n v="1.0087962962962964"/>
  </r>
  <r>
    <x v="32"/>
    <x v="1"/>
    <x v="1"/>
    <x v="13"/>
    <x v="0"/>
    <d v="1899-12-30T01:08:06"/>
    <d v="1899-12-30T08:03:38"/>
    <d v="1899-12-30T15:19:19"/>
    <d v="1899-12-30T07:15:41"/>
    <d v="1899-12-30T07:12:00"/>
    <d v="1899-12-30T00:03:41"/>
    <m/>
    <n v="0.15630618568532195"/>
    <n v="1.0085262345679011"/>
  </r>
  <r>
    <x v="32"/>
    <x v="1"/>
    <x v="1"/>
    <x v="14"/>
    <x v="0"/>
    <d v="1899-12-30T01:01:50"/>
    <d v="1899-12-30T11:04:51"/>
    <d v="1899-12-30T18:00:20"/>
    <d v="1899-12-30T06:55:29"/>
    <d v="1899-12-30T07:12:00"/>
    <m/>
    <d v="1899-12-30T00:16:31"/>
    <n v="0.14882265634401703"/>
    <n v="0.96176697530864186"/>
  </r>
  <r>
    <x v="32"/>
    <x v="1"/>
    <x v="1"/>
    <x v="15"/>
    <x v="0"/>
    <d v="1899-12-30T01:04:39"/>
    <d v="1899-12-30T10:23:31"/>
    <d v="1899-12-30T18:00:24"/>
    <d v="1899-12-30T07:36:53"/>
    <d v="1899-12-30T07:12:00"/>
    <d v="1899-12-30T00:24:53"/>
    <m/>
    <n v="0.14150220698208876"/>
    <n v="1.0576003086419756"/>
  </r>
  <r>
    <x v="32"/>
    <x v="1"/>
    <x v="1"/>
    <x v="17"/>
    <x v="2"/>
    <d v="1899-12-30T00:55:04"/>
    <d v="1899-12-30T10:48:13"/>
    <d v="1899-12-30T18:04:08"/>
    <d v="1899-12-30T07:15:55"/>
    <d v="1899-12-30T07:12:00"/>
    <d v="1899-12-30T00:03:55"/>
    <m/>
    <n v="0.12632383865417701"/>
    <n v="1.0090663580246915"/>
  </r>
  <r>
    <x v="32"/>
    <x v="1"/>
    <x v="1"/>
    <x v="18"/>
    <x v="2"/>
    <d v="1899-12-30T00:56:09"/>
    <d v="1899-12-30T08:00:08"/>
    <d v="1899-12-30T15:13:36"/>
    <d v="1899-12-30T07:13:28"/>
    <d v="1899-12-30T07:12:00"/>
    <d v="1899-12-30T00:01:28"/>
    <m/>
    <n v="0.12953706551830205"/>
    <n v="1.0033950617283953"/>
  </r>
  <r>
    <x v="33"/>
    <x v="1"/>
    <x v="1"/>
    <x v="1"/>
    <x v="3"/>
    <d v="1899-12-30T00:55:08"/>
    <d v="1899-12-30T12:20:27"/>
    <d v="1899-12-30T18:00:48"/>
    <d v="1899-12-30T05:40:21"/>
    <d v="1899-12-30T06:00:00"/>
    <m/>
    <d v="1899-12-30T00:19:39"/>
    <n v="0.16199010822192841"/>
    <n v="0.94541666666666657"/>
  </r>
  <r>
    <x v="33"/>
    <x v="1"/>
    <x v="1"/>
    <x v="2"/>
    <x v="2"/>
    <d v="1899-12-30T00:59:22"/>
    <d v="1899-12-30T08:01:38"/>
    <d v="1899-12-30T16:51:12"/>
    <d v="1899-12-30T08:49:34"/>
    <d v="1899-12-30T07:12:00"/>
    <d v="1899-12-30T01:37:34"/>
    <m/>
    <n v="0.11210423616793606"/>
    <n v="1.2258487654320989"/>
  </r>
  <r>
    <x v="33"/>
    <x v="1"/>
    <x v="1"/>
    <x v="3"/>
    <x v="0"/>
    <d v="1899-12-30T01:16:09"/>
    <d v="1899-12-30T08:02:17"/>
    <d v="1899-12-30T15:14:08"/>
    <d v="1899-12-30T07:11:51"/>
    <d v="1899-12-30T07:12:00"/>
    <m/>
    <d v="1899-12-30T00:00:09"/>
    <n v="0.17633437536181543"/>
    <n v="0.99965277777777795"/>
  </r>
  <r>
    <x v="33"/>
    <x v="1"/>
    <x v="1"/>
    <x v="5"/>
    <x v="0"/>
    <d v="1899-12-30T00:57:19"/>
    <d v="1899-12-30T10:34:31"/>
    <d v="1899-12-30T15:17:40"/>
    <d v="1899-12-30T04:43:09"/>
    <d v="1899-12-30T07:12:00"/>
    <m/>
    <d v="1899-12-30T02:28:51"/>
    <n v="0.2024250985932074"/>
    <n v="0.65543981481481484"/>
  </r>
  <r>
    <x v="33"/>
    <x v="1"/>
    <x v="1"/>
    <x v="7"/>
    <x v="0"/>
    <d v="1899-12-30T00:48:44"/>
    <d v="1899-12-30T08:00:00"/>
    <d v="1899-12-30T15:12:47"/>
    <d v="1899-12-30T07:12:47"/>
    <d v="1899-12-30T07:12:00"/>
    <d v="1899-12-30T00:00:47"/>
    <m/>
    <n v="0.11260445950629645"/>
    <n v="1.0018132716049384"/>
  </r>
  <r>
    <x v="33"/>
    <x v="1"/>
    <x v="1"/>
    <x v="19"/>
    <x v="2"/>
    <d v="1899-12-30T00:57:16"/>
    <d v="1899-12-30T10:05:56"/>
    <d v="1899-12-30T18:00:24"/>
    <d v="1899-12-30T07:54:28"/>
    <d v="1899-12-30T07:12:00"/>
    <d v="1899-12-30T00:42:28"/>
    <m/>
    <n v="0.12069692286075591"/>
    <n v="1.0983024691358028"/>
  </r>
  <r>
    <x v="33"/>
    <x v="1"/>
    <x v="1"/>
    <x v="10"/>
    <x v="3"/>
    <d v="1899-12-30T00:57:23"/>
    <d v="1899-12-30T08:00:21"/>
    <d v="1899-12-30T15:12:39"/>
    <d v="1899-12-30T07:12:18"/>
    <d v="1899-12-30T07:12:00"/>
    <d v="1899-12-30T00:00:18"/>
    <m/>
    <n v="0.13273960983884647"/>
    <n v="1.0006944444444446"/>
  </r>
  <r>
    <x v="33"/>
    <x v="1"/>
    <x v="1"/>
    <x v="11"/>
    <x v="4"/>
    <d v="1899-12-30T01:04:38"/>
    <d v="1899-12-30T08:00:00"/>
    <d v="1899-12-30T15:19:11"/>
    <d v="1899-12-30T07:19:11"/>
    <d v="1899-12-30T07:12:00"/>
    <d v="1899-12-30T00:07:11"/>
    <m/>
    <n v="0.14716709043300064"/>
    <n v="1.0166280864197532"/>
  </r>
  <r>
    <x v="33"/>
    <x v="1"/>
    <x v="1"/>
    <x v="13"/>
    <x v="0"/>
    <d v="1899-12-30T01:05:03"/>
    <d v="1899-12-30T08:00:10"/>
    <d v="1899-12-30T16:06:23"/>
    <d v="1899-12-30T08:06:13"/>
    <d v="1899-12-30T07:12:00"/>
    <d v="1899-12-30T00:54:13"/>
    <m/>
    <n v="0.13378809172865319"/>
    <n v="1.1255015432098767"/>
  </r>
  <r>
    <x v="33"/>
    <x v="1"/>
    <x v="1"/>
    <x v="14"/>
    <x v="0"/>
    <d v="1899-12-30T01:11:14"/>
    <d v="1899-12-30T10:59:08"/>
    <d v="1899-12-30T18:00:20"/>
    <d v="1899-12-30T07:01:12"/>
    <d v="1899-12-30T07:12:00"/>
    <m/>
    <d v="1899-12-30T00:10:48"/>
    <n v="0.16911997467553022"/>
    <n v="0.97499999999999998"/>
  </r>
  <r>
    <x v="33"/>
    <x v="1"/>
    <x v="1"/>
    <x v="15"/>
    <x v="0"/>
    <d v="1899-12-30T01:01:17"/>
    <d v="1899-12-30T10:23:55"/>
    <d v="1899-12-30T18:01:01"/>
    <d v="1899-12-30T07:37:06"/>
    <d v="1899-12-30T07:12:00"/>
    <d v="1899-12-30T00:25:06"/>
    <m/>
    <n v="0.13406986071610882"/>
    <n v="1.0581018518518517"/>
  </r>
  <r>
    <x v="33"/>
    <x v="1"/>
    <x v="1"/>
    <x v="17"/>
    <x v="2"/>
    <d v="1899-12-30T01:13:37"/>
    <d v="1899-12-30T10:59:54"/>
    <d v="1899-12-30T18:03:10"/>
    <d v="1899-12-30T07:03:16"/>
    <d v="1899-12-30T07:12:00"/>
    <m/>
    <d v="1899-12-30T00:08:44"/>
    <n v="0.17392502756339584"/>
    <n v="0.97978395061728385"/>
  </r>
  <r>
    <x v="33"/>
    <x v="1"/>
    <x v="1"/>
    <x v="18"/>
    <x v="2"/>
    <d v="1899-12-30T00:52:45"/>
    <d v="1899-12-30T08:00:42"/>
    <d v="1899-12-30T17:05:02"/>
    <d v="1899-12-30T09:04:20"/>
    <d v="1899-12-30T07:12:00"/>
    <d v="1899-12-30T01:52:20"/>
    <m/>
    <n v="9.690753214941826E-2"/>
    <n v="1.2600308641975309"/>
  </r>
  <r>
    <x v="34"/>
    <x v="1"/>
    <x v="1"/>
    <x v="1"/>
    <x v="3"/>
    <d v="1899-12-30T00:58:15"/>
    <d v="1899-12-30T12:46:38"/>
    <d v="1899-12-30T18:00:23"/>
    <d v="1899-12-30T05:13:45"/>
    <d v="1899-12-30T06:00:00"/>
    <m/>
    <d v="1899-12-30T00:46:15"/>
    <n v="0.18565737051792833"/>
    <n v="0.87152777777777768"/>
  </r>
  <r>
    <x v="34"/>
    <x v="1"/>
    <x v="1"/>
    <x v="2"/>
    <x v="2"/>
    <d v="1899-12-30T00:45:53"/>
    <d v="1899-12-30T08:01:52"/>
    <d v="1899-12-30T15:19:29"/>
    <d v="1899-12-30T07:17:37"/>
    <d v="1899-12-30T07:12:00"/>
    <d v="1899-12-30T00:05:37"/>
    <m/>
    <n v="0.10484823094793767"/>
    <n v="1.0130015432098769"/>
  </r>
  <r>
    <x v="34"/>
    <x v="1"/>
    <x v="1"/>
    <x v="3"/>
    <x v="0"/>
    <d v="1899-12-30T01:24:29"/>
    <d v="1899-12-30T08:03:27"/>
    <d v="1899-12-30T15:12:41"/>
    <d v="1899-12-30T07:09:14"/>
    <d v="1899-12-30T07:12:00"/>
    <m/>
    <d v="1899-12-30T00:02:46"/>
    <n v="0.19682379436204089"/>
    <n v="0.99359567901234558"/>
  </r>
  <r>
    <x v="34"/>
    <x v="1"/>
    <x v="1"/>
    <x v="5"/>
    <x v="0"/>
    <d v="1899-12-30T00:07:11"/>
    <d v="1899-12-30T09:47:20"/>
    <d v="1899-12-30T15:12:00"/>
    <d v="1899-12-30T05:24:40"/>
    <d v="1899-12-30T07:12:00"/>
    <m/>
    <d v="1899-12-30T01:47:20"/>
    <n v="2.2125256673511298E-2"/>
    <n v="0.75154320987654311"/>
  </r>
  <r>
    <x v="34"/>
    <x v="1"/>
    <x v="1"/>
    <x v="7"/>
    <x v="0"/>
    <d v="1899-12-30T00:54:04"/>
    <d v="1899-12-30T08:00:00"/>
    <d v="1899-12-30T15:13:19"/>
    <d v="1899-12-30T07:13:19"/>
    <d v="1899-12-30T07:12:00"/>
    <d v="1899-12-30T00:01:19"/>
    <m/>
    <n v="0.12477402977037579"/>
    <n v="1.0030478395061728"/>
  </r>
  <r>
    <x v="34"/>
    <x v="1"/>
    <x v="1"/>
    <x v="19"/>
    <x v="2"/>
    <d v="1899-12-30T00:51:23"/>
    <d v="1899-12-30T10:39:46"/>
    <d v="1899-12-30T18:05:44"/>
    <d v="1899-12-30T07:25:58"/>
    <d v="1899-12-30T07:12:00"/>
    <d v="1899-12-30T00:13:58"/>
    <m/>
    <n v="0.11521787876522911"/>
    <n v="1.0323302469135802"/>
  </r>
  <r>
    <x v="34"/>
    <x v="1"/>
    <x v="1"/>
    <x v="10"/>
    <x v="3"/>
    <d v="1899-12-30T01:13:08"/>
    <d v="1899-12-30T08:00:21"/>
    <d v="1899-12-30T15:12:33"/>
    <d v="1899-12-30T07:12:12"/>
    <d v="1899-12-30T07:12:00"/>
    <d v="1899-12-30T00:00:12"/>
    <m/>
    <n v="0.16921178466759218"/>
    <n v="1.0004629629629631"/>
  </r>
  <r>
    <x v="34"/>
    <x v="1"/>
    <x v="1"/>
    <x v="11"/>
    <x v="4"/>
    <d v="1899-12-30T01:03:21"/>
    <d v="1899-12-30T08:01:58"/>
    <d v="1899-12-30T15:13:57"/>
    <d v="1899-12-30T07:11:59"/>
    <d v="1899-12-30T07:12:00"/>
    <m/>
    <d v="1899-12-30T00:00:01"/>
    <n v="0.14664917627994908"/>
    <n v="0.99996141975308639"/>
  </r>
  <r>
    <x v="34"/>
    <x v="1"/>
    <x v="1"/>
    <x v="13"/>
    <x v="0"/>
    <d v="1899-12-30T00:35:31"/>
    <d v="1899-12-30T08:00:50"/>
    <d v="1899-12-30T15:20:01"/>
    <d v="1899-12-30T07:19:11"/>
    <d v="1899-12-30T07:12:00"/>
    <d v="1899-12-30T00:07:11"/>
    <m/>
    <n v="8.0869796212667433E-2"/>
    <n v="1.0166280864197532"/>
  </r>
  <r>
    <x v="34"/>
    <x v="1"/>
    <x v="1"/>
    <x v="14"/>
    <x v="0"/>
    <d v="1899-12-30T01:14:13"/>
    <d v="1899-12-30T10:58:28"/>
    <d v="1899-12-30T18:00:38"/>
    <d v="1899-12-30T07:02:10"/>
    <d v="1899-12-30T07:12:00"/>
    <m/>
    <d v="1899-12-30T00:09:50"/>
    <n v="0.1757994472956968"/>
    <n v="0.97723765432098764"/>
  </r>
  <r>
    <x v="34"/>
    <x v="1"/>
    <x v="1"/>
    <x v="15"/>
    <x v="0"/>
    <d v="1899-12-30T01:01:19"/>
    <d v="1899-12-30T10:30:36"/>
    <d v="1899-12-30T18:00:29"/>
    <d v="1899-12-30T07:29:53"/>
    <d v="1899-12-30T07:12:00"/>
    <d v="1899-12-30T00:17:53"/>
    <m/>
    <n v="0.13629459489497278"/>
    <n v="1.0413966049382715"/>
  </r>
  <r>
    <x v="34"/>
    <x v="1"/>
    <x v="1"/>
    <x v="17"/>
    <x v="2"/>
    <d v="1899-12-30T00:54:59"/>
    <d v="1899-12-30T10:51:18"/>
    <d v="1899-12-30T18:02:20"/>
    <d v="1899-12-30T07:11:02"/>
    <d v="1899-12-30T07:12:00"/>
    <m/>
    <d v="1899-12-30T00:00:58"/>
    <n v="0.12756167349779599"/>
    <n v="0.99776234567901234"/>
  </r>
  <r>
    <x v="34"/>
    <x v="1"/>
    <x v="1"/>
    <x v="18"/>
    <x v="2"/>
    <d v="1899-12-30T01:01:59"/>
    <d v="1899-12-30T08:00:17"/>
    <d v="1899-12-30T15:14:16"/>
    <d v="1899-12-30T07:13:59"/>
    <d v="1899-12-30T07:12:00"/>
    <d v="1899-12-30T00:01:59"/>
    <m/>
    <n v="0.14282422520066057"/>
    <n v="1.0045910493827159"/>
  </r>
  <r>
    <x v="35"/>
    <x v="1"/>
    <x v="1"/>
    <x v="2"/>
    <x v="2"/>
    <d v="1899-12-30T00:40:52"/>
    <d v="1899-12-30T08:37:09"/>
    <d v="1899-12-30T15:13:06"/>
    <d v="1899-12-30T06:35:57"/>
    <d v="1899-12-30T07:12:00"/>
    <m/>
    <d v="1899-12-30T00:36:03"/>
    <n v="0.1032116849770594"/>
    <n v="0.9165509259259258"/>
  </r>
  <r>
    <x v="35"/>
    <x v="1"/>
    <x v="1"/>
    <x v="3"/>
    <x v="0"/>
    <d v="1899-12-30T01:16:49"/>
    <d v="1899-12-30T08:12:04"/>
    <d v="1899-12-30T15:13:20"/>
    <d v="1899-12-30T07:01:16"/>
    <d v="1899-12-30T07:12:00"/>
    <m/>
    <d v="1899-12-30T00:10:44"/>
    <n v="0.1823468903307485"/>
    <n v="0.97515432098765453"/>
  </r>
  <r>
    <x v="35"/>
    <x v="1"/>
    <x v="1"/>
    <x v="5"/>
    <x v="0"/>
    <d v="1899-12-30T00:10:43"/>
    <d v="1899-12-30T08:10:39"/>
    <d v="1899-12-30T15:12:00"/>
    <d v="1899-12-30T07:01:21"/>
    <d v="1899-12-30T07:12:00"/>
    <m/>
    <d v="1899-12-30T00:10:39"/>
    <n v="2.5434120485740282E-2"/>
    <n v="0.97534722222222203"/>
  </r>
  <r>
    <x v="35"/>
    <x v="1"/>
    <x v="1"/>
    <x v="7"/>
    <x v="0"/>
    <d v="1899-12-30T00:56:21"/>
    <d v="1899-12-30T08:00:00"/>
    <d v="1899-12-30T15:13:12"/>
    <d v="1899-12-30T07:13:12"/>
    <d v="1899-12-30T07:12:00"/>
    <d v="1899-12-30T00:01:12"/>
    <m/>
    <n v="0.13007848568790395"/>
    <n v="1.0027777777777778"/>
  </r>
  <r>
    <x v="35"/>
    <x v="1"/>
    <x v="1"/>
    <x v="19"/>
    <x v="2"/>
    <d v="1899-12-30T00:53:18"/>
    <d v="1899-12-30T10:38:37"/>
    <d v="1899-12-30T17:12:45"/>
    <d v="1899-12-30T06:34:08"/>
    <d v="1899-12-30T07:12:00"/>
    <m/>
    <d v="1899-12-30T00:37:52"/>
    <n v="0.13523342354533155"/>
    <n v="0.91234567901234565"/>
  </r>
  <r>
    <x v="35"/>
    <x v="1"/>
    <x v="1"/>
    <x v="10"/>
    <x v="3"/>
    <d v="1899-12-30T01:07:44"/>
    <d v="1899-12-30T08:00:21"/>
    <d v="1899-12-30T15:12:34"/>
    <d v="1899-12-30T07:12:13"/>
    <d v="1899-12-30T07:12:00"/>
    <d v="1899-12-30T00:00:13"/>
    <m/>
    <n v="0.15671152585508813"/>
    <n v="1.0005015432098765"/>
  </r>
  <r>
    <x v="35"/>
    <x v="1"/>
    <x v="1"/>
    <x v="11"/>
    <x v="4"/>
    <d v="1899-12-30T00:39:26"/>
    <d v="1899-12-30T12:34:51"/>
    <d v="1899-12-30T17:18:59"/>
    <d v="1899-12-30T04:44:08"/>
    <d v="1899-12-30T07:12:00"/>
    <m/>
    <d v="1899-12-30T02:27:52"/>
    <n v="0.13878460816518065"/>
    <n v="0.65771604938271611"/>
  </r>
  <r>
    <x v="35"/>
    <x v="1"/>
    <x v="1"/>
    <x v="13"/>
    <x v="0"/>
    <d v="1899-12-30T00:13:10"/>
    <d v="1899-12-30T08:01:14"/>
    <d v="1899-12-30T15:37:47"/>
    <d v="1899-12-30T07:36:33"/>
    <d v="1899-12-30T07:12:00"/>
    <d v="1899-12-30T00:24:33"/>
    <m/>
    <n v="2.8839484539845941E-2"/>
    <n v="1.0568287037037039"/>
  </r>
  <r>
    <x v="35"/>
    <x v="1"/>
    <x v="1"/>
    <x v="14"/>
    <x v="0"/>
    <d v="1899-12-30T01:04:43"/>
    <d v="1899-12-30T10:45:52"/>
    <d v="1899-12-30T18:00:31"/>
    <d v="1899-12-30T07:14:39"/>
    <d v="1899-12-30T07:12:00"/>
    <d v="1899-12-30T00:02:39"/>
    <m/>
    <n v="0.14889374592584073"/>
    <n v="1.0061342592592593"/>
  </r>
  <r>
    <x v="35"/>
    <x v="1"/>
    <x v="1"/>
    <x v="15"/>
    <x v="0"/>
    <d v="1899-12-30T01:05:39"/>
    <d v="1899-12-30T10:33:09"/>
    <d v="1899-12-30T18:01:34"/>
    <d v="1899-12-30T07:28:25"/>
    <d v="1899-12-30T07:12:00"/>
    <d v="1899-12-30T00:16:25"/>
    <m/>
    <n v="0.1464040141237688"/>
    <n v="1.0380015432098766"/>
  </r>
  <r>
    <x v="35"/>
    <x v="1"/>
    <x v="1"/>
    <x v="17"/>
    <x v="2"/>
    <d v="1899-12-30T00:49:13"/>
    <d v="1899-12-30T10:11:07"/>
    <d v="1899-12-30T17:24:23"/>
    <d v="1899-12-30T07:13:16"/>
    <d v="1899-12-30T07:12:00"/>
    <d v="1899-12-30T00:01:16"/>
    <m/>
    <n v="0.113594399138329"/>
    <n v="1.002932098765432"/>
  </r>
  <r>
    <x v="35"/>
    <x v="1"/>
    <x v="1"/>
    <x v="18"/>
    <x v="2"/>
    <d v="1899-12-30T00:38:45"/>
    <d v="1899-12-30T08:06:48"/>
    <d v="1899-12-30T15:15:42"/>
    <d v="1899-12-30T07:08:54"/>
    <d v="1899-12-30T07:12:00"/>
    <m/>
    <d v="1899-12-30T00:03:06"/>
    <n v="9.0347400326416402E-2"/>
    <n v="0.99282407407407425"/>
  </r>
  <r>
    <x v="36"/>
    <x v="1"/>
    <x v="1"/>
    <x v="1"/>
    <x v="3"/>
    <d v="1899-12-30T01:05:54"/>
    <d v="1899-12-30T12:05:38"/>
    <d v="1899-12-30T18:00:12"/>
    <d v="1899-12-30T05:54:34"/>
    <d v="1899-12-30T06:00:00"/>
    <m/>
    <d v="1899-12-30T00:05:26"/>
    <n v="0.18586067500235026"/>
    <n v="0.98490740740740756"/>
  </r>
  <r>
    <x v="36"/>
    <x v="1"/>
    <x v="1"/>
    <x v="2"/>
    <x v="2"/>
    <d v="1899-12-30T00:46:32"/>
    <d v="1899-12-30T08:55:42"/>
    <d v="1899-12-30T16:12:39"/>
    <d v="1899-12-30T07:16:57"/>
    <d v="1899-12-30T07:12:00"/>
    <d v="1899-12-30T00:04:57"/>
    <m/>
    <n v="0.10649578517755655"/>
    <n v="1.0114583333333336"/>
  </r>
  <r>
    <x v="36"/>
    <x v="1"/>
    <x v="1"/>
    <x v="3"/>
    <x v="0"/>
    <d v="1899-12-30T01:18:51"/>
    <d v="1899-12-30T08:00:31"/>
    <d v="1899-12-30T15:12:24"/>
    <d v="1899-12-30T07:11:53"/>
    <d v="1899-12-30T07:12:00"/>
    <m/>
    <d v="1899-12-30T00:00:07"/>
    <n v="0.18257245398062746"/>
    <n v="0.99972993827160506"/>
  </r>
  <r>
    <x v="36"/>
    <x v="1"/>
    <x v="1"/>
    <x v="5"/>
    <x v="0"/>
    <d v="1899-12-30T00:18:25"/>
    <d v="1899-12-30T08:06:53"/>
    <d v="1899-12-30T15:12:00"/>
    <d v="1899-12-30T07:05:07"/>
    <d v="1899-12-30T07:12:00"/>
    <m/>
    <d v="1899-12-30T00:06:53"/>
    <n v="4.3321441173011337E-2"/>
    <n v="0.98406635802469133"/>
  </r>
  <r>
    <x v="36"/>
    <x v="1"/>
    <x v="1"/>
    <x v="7"/>
    <x v="0"/>
    <d v="1899-12-30T00:48:47"/>
    <d v="1899-12-30T08:00:02"/>
    <d v="1899-12-30T15:14:00"/>
    <d v="1899-12-30T07:13:58"/>
    <d v="1899-12-30T07:12:00"/>
    <d v="1899-12-30T00:01:58"/>
    <m/>
    <n v="0.11241262769797988"/>
    <n v="1.0045524691358023"/>
  </r>
  <r>
    <x v="36"/>
    <x v="1"/>
    <x v="1"/>
    <x v="19"/>
    <x v="2"/>
    <d v="1899-12-30T00:54:12"/>
    <d v="1899-12-30T09:58:14"/>
    <d v="1899-12-30T18:01:28"/>
    <d v="1899-12-30T08:03:14"/>
    <d v="1899-12-30T07:12:00"/>
    <d v="1899-12-30T00:51:14"/>
    <m/>
    <n v="0.11216113678692141"/>
    <n v="1.1185956790123459"/>
  </r>
  <r>
    <x v="36"/>
    <x v="1"/>
    <x v="1"/>
    <x v="10"/>
    <x v="3"/>
    <d v="1899-12-30T01:09:36"/>
    <d v="1899-12-30T08:00:10"/>
    <d v="1899-12-30T15:17:32"/>
    <d v="1899-12-30T07:17:22"/>
    <d v="1899-12-30T07:12:00"/>
    <d v="1899-12-30T00:05:22"/>
    <m/>
    <n v="0.15913421233137717"/>
    <n v="1.012422839506173"/>
  </r>
  <r>
    <x v="36"/>
    <x v="1"/>
    <x v="1"/>
    <x v="11"/>
    <x v="4"/>
    <d v="1899-12-30T00:55:03"/>
    <d v="1899-12-30T08:00:06"/>
    <d v="1899-12-30T15:15:06"/>
    <d v="1899-12-30T07:15:00"/>
    <d v="1899-12-30T07:12:00"/>
    <d v="1899-12-30T00:03:00"/>
    <m/>
    <n v="0.12655172413793106"/>
    <n v="1.0069444444444444"/>
  </r>
  <r>
    <x v="36"/>
    <x v="1"/>
    <x v="1"/>
    <x v="13"/>
    <x v="0"/>
    <d v="1899-12-30T00:46:27"/>
    <d v="1899-12-30T08:00:49"/>
    <d v="1899-12-30T15:18:18"/>
    <d v="1899-12-30T07:17:29"/>
    <d v="1899-12-30T07:12:00"/>
    <d v="1899-12-30T00:05:29"/>
    <m/>
    <n v="0.10617547335136576"/>
    <n v="1.012692901234568"/>
  </r>
  <r>
    <x v="36"/>
    <x v="1"/>
    <x v="1"/>
    <x v="14"/>
    <x v="0"/>
    <d v="1899-12-30T01:02:33"/>
    <d v="1899-12-30T11:18:52"/>
    <d v="1899-12-30T18:00:32"/>
    <d v="1899-12-30T06:41:40"/>
    <d v="1899-12-30T07:12:00"/>
    <m/>
    <d v="1899-12-30T00:30:20"/>
    <n v="0.15572614107883817"/>
    <n v="0.92978395061728392"/>
  </r>
  <r>
    <x v="36"/>
    <x v="1"/>
    <x v="1"/>
    <x v="15"/>
    <x v="0"/>
    <d v="1899-12-30T01:02:44"/>
    <d v="1899-12-30T11:02:58"/>
    <d v="1899-12-30T18:00:11"/>
    <d v="1899-12-30T06:57:13"/>
    <d v="1899-12-30T07:12:00"/>
    <m/>
    <d v="1899-12-30T00:14:47"/>
    <n v="0.15036152278991732"/>
    <n v="0.96577932098765418"/>
  </r>
  <r>
    <x v="36"/>
    <x v="1"/>
    <x v="1"/>
    <x v="16"/>
    <x v="0"/>
    <d v="1899-12-30T01:17:28"/>
    <d v="1899-12-30T08:01:09"/>
    <d v="1899-12-30T15:12:40"/>
    <d v="1899-12-30T07:11:31"/>
    <d v="1899-12-30T07:12:00"/>
    <m/>
    <d v="1899-12-30T00:00:29"/>
    <n v="0.17952184156656753"/>
    <n v="0.99888117283950628"/>
  </r>
  <r>
    <x v="36"/>
    <x v="1"/>
    <x v="1"/>
    <x v="17"/>
    <x v="2"/>
    <d v="1899-12-30T00:00:00"/>
    <d v="1899-12-30T10:21:34"/>
    <d v="1899-12-30T17:19:16"/>
    <d v="1899-12-30T06:57:42"/>
    <d v="1899-12-30T07:12:00"/>
    <m/>
    <d v="1899-12-30T00:14:18"/>
    <n v="0"/>
    <n v="0.96689814814814812"/>
  </r>
  <r>
    <x v="36"/>
    <x v="1"/>
    <x v="1"/>
    <x v="18"/>
    <x v="2"/>
    <d v="1899-12-30T00:57:25"/>
    <d v="1899-12-30T08:38:35"/>
    <d v="1899-12-30T15:40:01"/>
    <d v="1899-12-30T07:01:26"/>
    <d v="1899-12-30T07:12:00"/>
    <m/>
    <d v="1899-12-30T00:10:34"/>
    <n v="0.13624139840227795"/>
    <n v="0.97554012345679009"/>
  </r>
  <r>
    <x v="37"/>
    <x v="1"/>
    <x v="1"/>
    <x v="1"/>
    <x v="3"/>
    <d v="1899-12-30T00:59:52"/>
    <d v="1899-12-30T12:27:30"/>
    <d v="1899-12-30T18:00:14"/>
    <d v="1899-12-30T05:32:44"/>
    <d v="1899-12-30T06:00:00"/>
    <m/>
    <d v="1899-12-30T00:27:16"/>
    <n v="0.179923862953316"/>
    <n v="0.92425925925925911"/>
  </r>
  <r>
    <x v="37"/>
    <x v="1"/>
    <x v="1"/>
    <x v="3"/>
    <x v="0"/>
    <d v="1899-12-30T01:00:07"/>
    <d v="1899-12-30T09:14:15"/>
    <d v="1899-12-30T15:13:05"/>
    <d v="1899-12-30T05:58:50"/>
    <d v="1899-12-30T07:12:00"/>
    <m/>
    <d v="1899-12-30T01:13:10"/>
    <n v="0.16753367394333488"/>
    <n v="0.83063271604938282"/>
  </r>
  <r>
    <x v="37"/>
    <x v="1"/>
    <x v="1"/>
    <x v="5"/>
    <x v="0"/>
    <d v="1899-12-30T00:28:33"/>
    <d v="1899-12-30T09:31:49"/>
    <d v="1899-12-30T15:12:57"/>
    <d v="1899-12-30T05:41:08"/>
    <d v="1899-12-30T07:12:00"/>
    <m/>
    <d v="1899-12-30T01:30:52"/>
    <n v="8.3691616181356274E-2"/>
    <n v="0.78966049382716053"/>
  </r>
  <r>
    <x v="37"/>
    <x v="1"/>
    <x v="1"/>
    <x v="7"/>
    <x v="0"/>
    <d v="1899-12-30T00:53:21"/>
    <d v="1899-12-30T08:01:41"/>
    <d v="1899-12-30T15:12:57"/>
    <d v="1899-12-30T07:11:16"/>
    <d v="1899-12-30T07:12:00"/>
    <m/>
    <d v="1899-12-30T00:00:44"/>
    <n v="0.12370536404390169"/>
    <n v="0.99830246913580245"/>
  </r>
  <r>
    <x v="37"/>
    <x v="1"/>
    <x v="1"/>
    <x v="10"/>
    <x v="3"/>
    <d v="1899-12-30T01:17:53"/>
    <d v="1899-12-30T08:00:10"/>
    <d v="1899-12-30T15:12:28"/>
    <d v="1899-12-30T07:12:18"/>
    <d v="1899-12-30T07:12:00"/>
    <d v="1899-12-30T00:00:18"/>
    <m/>
    <n v="0.18016038245045879"/>
    <n v="1.0006944444444443"/>
  </r>
  <r>
    <x v="37"/>
    <x v="1"/>
    <x v="1"/>
    <x v="11"/>
    <x v="4"/>
    <d v="1899-12-30T00:47:43"/>
    <d v="1899-12-30T08:00:09"/>
    <d v="1899-12-30T15:14:13"/>
    <d v="1899-12-30T07:14:04"/>
    <d v="1899-12-30T07:12:00"/>
    <d v="1899-12-30T00:02:04"/>
    <m/>
    <n v="0.10992935033021044"/>
    <n v="1.0047839506172838"/>
  </r>
  <r>
    <x v="37"/>
    <x v="1"/>
    <x v="1"/>
    <x v="13"/>
    <x v="0"/>
    <d v="1899-12-30T00:46:09"/>
    <d v="1899-12-30T08:02:55"/>
    <d v="1899-12-30T15:15:13"/>
    <d v="1899-12-30T07:12:18"/>
    <d v="1899-12-30T07:12:00"/>
    <d v="1899-12-30T00:00:18"/>
    <m/>
    <n v="0.10675456858662967"/>
    <n v="1.0006944444444443"/>
  </r>
  <r>
    <x v="37"/>
    <x v="1"/>
    <x v="1"/>
    <x v="14"/>
    <x v="0"/>
    <d v="1899-12-30T01:11:31"/>
    <d v="1899-12-30T11:04:54"/>
    <d v="1899-12-30T18:00:23"/>
    <d v="1899-12-30T06:55:29"/>
    <d v="1899-12-30T07:12:00"/>
    <m/>
    <d v="1899-12-30T00:16:31"/>
    <n v="0.1721288459224197"/>
    <n v="0.96176697530864186"/>
  </r>
  <r>
    <x v="37"/>
    <x v="1"/>
    <x v="1"/>
    <x v="15"/>
    <x v="0"/>
    <d v="1899-12-30T01:04:07"/>
    <d v="1899-12-30T10:56:14"/>
    <d v="1899-12-30T18:00:22"/>
    <d v="1899-12-30T07:04:08"/>
    <d v="1899-12-30T07:12:00"/>
    <m/>
    <d v="1899-12-30T00:07:52"/>
    <n v="0.15117101540396102"/>
    <n v="0.98179012345679018"/>
  </r>
  <r>
    <x v="38"/>
    <x v="1"/>
    <x v="1"/>
    <x v="1"/>
    <x v="3"/>
    <d v="1899-12-30T01:06:32"/>
    <d v="1899-12-30T12:09:17"/>
    <d v="1899-12-30T18:00:30"/>
    <d v="1899-12-30T05:51:13"/>
    <d v="1899-12-30T06:00:00"/>
    <m/>
    <d v="1899-12-30T00:08:47"/>
    <n v="0.1894367199734257"/>
    <n v="0.97560185185185189"/>
  </r>
  <r>
    <x v="38"/>
    <x v="1"/>
    <x v="1"/>
    <x v="3"/>
    <x v="0"/>
    <d v="1899-12-30T01:14:07"/>
    <d v="1899-12-30T08:03:32"/>
    <d v="1899-12-30T15:12:47"/>
    <d v="1899-12-30T07:09:15"/>
    <d v="1899-12-30T07:12:00"/>
    <m/>
    <d v="1899-12-30T00:02:45"/>
    <n v="0.1726655018443021"/>
    <n v="0.99363425925925919"/>
  </r>
  <r>
    <x v="38"/>
    <x v="1"/>
    <x v="1"/>
    <x v="5"/>
    <x v="0"/>
    <d v="1899-12-30T01:05:54"/>
    <d v="1899-12-30T08:20:58"/>
    <d v="1899-12-30T15:13:26"/>
    <d v="1899-12-30T06:52:28"/>
    <d v="1899-12-30T07:12:00"/>
    <m/>
    <d v="1899-12-30T00:19:32"/>
    <n v="0.15977048650395989"/>
    <n v="0.95478395061728416"/>
  </r>
  <r>
    <x v="38"/>
    <x v="1"/>
    <x v="1"/>
    <x v="7"/>
    <x v="0"/>
    <d v="1899-12-30T00:54:16"/>
    <d v="1899-12-30T08:00:03"/>
    <d v="1899-12-30T15:13:05"/>
    <d v="1899-12-30T07:13:02"/>
    <d v="1899-12-30T07:12:00"/>
    <d v="1899-12-30T00:01:02"/>
    <m/>
    <n v="0.12531752751905162"/>
    <n v="1.0023919753086421"/>
  </r>
  <r>
    <x v="38"/>
    <x v="1"/>
    <x v="1"/>
    <x v="10"/>
    <x v="3"/>
    <d v="1899-12-30T01:05:32"/>
    <d v="1899-12-30T08:00:10"/>
    <d v="1899-12-30T15:12:28"/>
    <d v="1899-12-30T07:12:18"/>
    <d v="1899-12-30T07:12:00"/>
    <d v="1899-12-30T00:00:18"/>
    <m/>
    <n v="0.15159225846248747"/>
    <n v="1.0006944444444443"/>
  </r>
  <r>
    <x v="38"/>
    <x v="1"/>
    <x v="1"/>
    <x v="11"/>
    <x v="4"/>
    <d v="1899-12-30T01:12:21"/>
    <d v="1899-12-30T08:00:07"/>
    <d v="1899-12-30T15:15:06"/>
    <d v="1899-12-30T07:14:59"/>
    <d v="1899-12-30T07:12:00"/>
    <d v="1899-12-30T00:02:59"/>
    <m/>
    <n v="0.16632821180888158"/>
    <n v="1.0069058641975308"/>
  </r>
  <r>
    <x v="38"/>
    <x v="1"/>
    <x v="1"/>
    <x v="13"/>
    <x v="0"/>
    <d v="1899-12-30T00:48:33"/>
    <d v="1899-12-30T08:00:28"/>
    <d v="1899-12-30T15:14:30"/>
    <d v="1899-12-30T07:14:02"/>
    <d v="1899-12-30T07:12:00"/>
    <d v="1899-12-30T00:02:02"/>
    <m/>
    <n v="0.11185776822056676"/>
    <n v="1.004706790123457"/>
  </r>
  <r>
    <x v="38"/>
    <x v="1"/>
    <x v="1"/>
    <x v="14"/>
    <x v="0"/>
    <d v="1899-12-30T01:14:55"/>
    <d v="1899-12-30T10:51:27"/>
    <d v="1899-12-30T18:00:48"/>
    <d v="1899-12-30T07:09:21"/>
    <d v="1899-12-30T07:12:00"/>
    <m/>
    <d v="1899-12-30T00:02:39"/>
    <n v="0.17448856799037304"/>
    <n v="0.99386574074074074"/>
  </r>
  <r>
    <x v="38"/>
    <x v="1"/>
    <x v="1"/>
    <x v="15"/>
    <x v="0"/>
    <d v="1899-12-30T01:07:54"/>
    <d v="1899-12-30T11:34:13"/>
    <d v="1899-12-30T18:00:33"/>
    <d v="1899-12-30T06:26:20"/>
    <d v="1899-12-30T07:12:00"/>
    <m/>
    <d v="1899-12-30T00:45:40"/>
    <n v="0.1757549611734254"/>
    <n v="0.89429012345679004"/>
  </r>
  <r>
    <x v="38"/>
    <x v="1"/>
    <x v="1"/>
    <x v="16"/>
    <x v="0"/>
    <d v="1899-12-30T01:21:57"/>
    <d v="1899-12-30T08:00:46"/>
    <d v="1899-12-30T15:12:21"/>
    <d v="1899-12-30T07:11:35"/>
    <d v="1899-12-30T07:12:00"/>
    <m/>
    <d v="1899-12-30T00:00:25"/>
    <n v="0.18988221664413982"/>
    <n v="0.9990354938271605"/>
  </r>
  <r>
    <x v="38"/>
    <x v="1"/>
    <x v="1"/>
    <x v="17"/>
    <x v="2"/>
    <d v="1899-12-30T00:59:51"/>
    <d v="1899-12-30T10:10:52"/>
    <d v="1899-12-30T17:24:54"/>
    <d v="1899-12-30T07:14:02"/>
    <d v="1899-12-30T07:12:00"/>
    <d v="1899-12-30T00:02:02"/>
    <m/>
    <n v="0.13789263497427234"/>
    <n v="1.0047067901234568"/>
  </r>
  <r>
    <x v="39"/>
    <x v="1"/>
    <x v="1"/>
    <x v="1"/>
    <x v="3"/>
    <d v="1899-12-30T01:02:28"/>
    <d v="1899-12-30T12:08:37"/>
    <d v="1899-12-30T18:00:26"/>
    <d v="1899-12-30T05:51:49"/>
    <d v="1899-12-30T06:00:00"/>
    <m/>
    <d v="1899-12-30T00:08:11"/>
    <n v="0.17755459756501968"/>
    <n v="0.97726851851851837"/>
  </r>
  <r>
    <x v="39"/>
    <x v="1"/>
    <x v="1"/>
    <x v="2"/>
    <x v="2"/>
    <d v="1899-12-30T00:49:47"/>
    <d v="1899-12-30T08:11:02"/>
    <d v="1899-12-30T15:14:32"/>
    <d v="1899-12-30T07:03:30"/>
    <d v="1899-12-30T07:12:00"/>
    <m/>
    <d v="1899-12-30T00:08:30"/>
    <n v="0.11755214482487213"/>
    <n v="0.98032407407407396"/>
  </r>
  <r>
    <x v="39"/>
    <x v="1"/>
    <x v="1"/>
    <x v="3"/>
    <x v="0"/>
    <d v="1899-12-30T01:30:07"/>
    <d v="1899-12-30T08:01:48"/>
    <d v="1899-12-30T15:14:39"/>
    <d v="1899-12-30T07:12:51"/>
    <d v="1899-12-30T07:12:00"/>
    <d v="1899-12-30T00:00:51"/>
    <m/>
    <n v="0.20819375457240769"/>
    <n v="1.0019675925925928"/>
  </r>
  <r>
    <x v="39"/>
    <x v="1"/>
    <x v="1"/>
    <x v="5"/>
    <x v="0"/>
    <d v="1899-12-30T01:06:59"/>
    <d v="1899-12-30T08:02:01"/>
    <d v="1899-12-30T15:12:51"/>
    <d v="1899-12-30T07:10:50"/>
    <d v="1899-12-30T07:12:00"/>
    <m/>
    <d v="1899-12-30T00:01:10"/>
    <n v="0.15547388781431337"/>
    <n v="0.99729938271604923"/>
  </r>
  <r>
    <x v="39"/>
    <x v="1"/>
    <x v="1"/>
    <x v="7"/>
    <x v="0"/>
    <d v="1899-12-30T00:52:12"/>
    <d v="1899-12-30T08:00:03"/>
    <d v="1899-12-30T15:12:33"/>
    <d v="1899-12-30T07:12:30"/>
    <d v="1899-12-30T07:12:00"/>
    <d v="1899-12-30T00:00:30"/>
    <m/>
    <n v="0.12069364161849708"/>
    <n v="1.0011574074074077"/>
  </r>
  <r>
    <x v="39"/>
    <x v="1"/>
    <x v="1"/>
    <x v="19"/>
    <x v="2"/>
    <d v="1899-12-30T00:44:25"/>
    <d v="1899-12-30T10:28:38"/>
    <d v="1899-12-30T18:02:14"/>
    <d v="1899-12-30T07:33:36"/>
    <d v="1899-12-30T07:12:00"/>
    <d v="1899-12-30T00:21:36"/>
    <m/>
    <n v="9.7920340975896553E-2"/>
    <n v="1.0499999999999998"/>
  </r>
  <r>
    <x v="39"/>
    <x v="1"/>
    <x v="1"/>
    <x v="10"/>
    <x v="3"/>
    <d v="1899-12-30T01:13:49"/>
    <d v="1899-12-30T08:00:10"/>
    <d v="1899-12-30T15:13:39"/>
    <d v="1899-12-30T07:13:29"/>
    <d v="1899-12-30T07:12:00"/>
    <d v="1899-12-30T00:01:29"/>
    <m/>
    <n v="0.17028720827405897"/>
    <n v="1.0034336419753087"/>
  </r>
  <r>
    <x v="39"/>
    <x v="1"/>
    <x v="1"/>
    <x v="11"/>
    <x v="4"/>
    <d v="1899-12-30T01:06:46"/>
    <d v="1899-12-30T08:01:23"/>
    <d v="1899-12-30T15:14:16"/>
    <d v="1899-12-30T07:12:53"/>
    <d v="1899-12-30T07:12:00"/>
    <d v="1899-12-30T00:00:53"/>
    <m/>
    <n v="0.15423709236514846"/>
    <n v="1.0020447530864196"/>
  </r>
  <r>
    <x v="39"/>
    <x v="1"/>
    <x v="1"/>
    <x v="13"/>
    <x v="0"/>
    <d v="1899-12-30T00:49:41"/>
    <d v="1899-12-30T08:00:05"/>
    <d v="1899-12-30T15:15:05"/>
    <d v="1899-12-30T07:15:00"/>
    <d v="1899-12-30T07:12:00"/>
    <d v="1899-12-30T00:03:00"/>
    <m/>
    <n v="0.11421455938697318"/>
    <n v="1.0069444444444444"/>
  </r>
  <r>
    <x v="39"/>
    <x v="1"/>
    <x v="1"/>
    <x v="14"/>
    <x v="0"/>
    <d v="1899-12-30T01:05:16"/>
    <d v="1899-12-30T10:42:09"/>
    <d v="1899-12-30T18:00:28"/>
    <d v="1899-12-30T07:18:19"/>
    <d v="1899-12-30T07:12:00"/>
    <d v="1899-12-30T00:06:19"/>
    <m/>
    <n v="0.14890300011407276"/>
    <n v="1.014621913580247"/>
  </r>
  <r>
    <x v="39"/>
    <x v="1"/>
    <x v="1"/>
    <x v="15"/>
    <x v="0"/>
    <d v="1899-12-30T01:02:04"/>
    <d v="1899-12-30T10:59:32"/>
    <d v="1899-12-30T18:00:30"/>
    <d v="1899-12-30T07:00:58"/>
    <d v="1899-12-30T07:12:00"/>
    <m/>
    <d v="1899-12-30T00:11:02"/>
    <n v="0.14743843534721671"/>
    <n v="0.97445987654320998"/>
  </r>
  <r>
    <x v="39"/>
    <x v="1"/>
    <x v="1"/>
    <x v="16"/>
    <x v="0"/>
    <d v="1899-12-30T00:40:31"/>
    <d v="1899-12-30T08:01:20"/>
    <d v="1899-12-30T12:00:59"/>
    <d v="1899-12-30T03:59:39"/>
    <d v="1899-12-30T07:12:00"/>
    <m/>
    <d v="1899-12-30T03:12:21"/>
    <n v="0.16906599902635785"/>
    <n v="0.55474537037037053"/>
  </r>
  <r>
    <x v="39"/>
    <x v="1"/>
    <x v="1"/>
    <x v="17"/>
    <x v="2"/>
    <d v="1899-12-30T00:46:11"/>
    <d v="1899-12-30T10:47:03"/>
    <d v="1899-12-30T18:01:34"/>
    <d v="1899-12-30T07:14:31"/>
    <d v="1899-12-30T07:12:00"/>
    <d v="1899-12-30T00:02:31"/>
    <m/>
    <n v="0.10628667868512906"/>
    <n v="1.0058256172839506"/>
  </r>
  <r>
    <x v="39"/>
    <x v="1"/>
    <x v="1"/>
    <x v="18"/>
    <x v="2"/>
    <d v="1899-12-30T00:49:09"/>
    <d v="1899-12-30T08:03:27"/>
    <d v="1899-12-30T14:41:25"/>
    <d v="1899-12-30T06:37:58"/>
    <d v="1899-12-30T07:12:00"/>
    <m/>
    <d v="1899-12-30T00:34:02"/>
    <n v="0.12350280593014488"/>
    <n v="0.92121913580246928"/>
  </r>
  <r>
    <x v="40"/>
    <x v="1"/>
    <x v="1"/>
    <x v="2"/>
    <x v="2"/>
    <d v="1899-12-30T00:45:38"/>
    <d v="1899-12-30T08:36:19"/>
    <d v="1899-12-30T15:31:23"/>
    <d v="1899-12-30T06:55:04"/>
    <d v="1899-12-30T07:12:00"/>
    <m/>
    <d v="1899-12-30T00:16:56"/>
    <n v="0.10994217796337938"/>
    <n v="0.96080246913580247"/>
  </r>
  <r>
    <x v="40"/>
    <x v="1"/>
    <x v="1"/>
    <x v="3"/>
    <x v="0"/>
    <d v="1899-12-30T01:02:10"/>
    <d v="1899-12-30T08:05:05"/>
    <d v="1899-12-30T15:13:44"/>
    <d v="1899-12-30T07:08:39"/>
    <d v="1899-12-30T07:12:00"/>
    <m/>
    <d v="1899-12-30T00:03:21"/>
    <n v="0.14502896691162179"/>
    <n v="0.99224537037037031"/>
  </r>
  <r>
    <x v="40"/>
    <x v="1"/>
    <x v="1"/>
    <x v="5"/>
    <x v="0"/>
    <d v="1899-12-30T01:03:31"/>
    <d v="1899-12-30T08:13:18"/>
    <d v="1899-12-30T15:13:32"/>
    <d v="1899-12-30T07:00:14"/>
    <d v="1899-12-30T07:12:00"/>
    <m/>
    <d v="1899-12-30T00:11:46"/>
    <n v="0.15114618862536688"/>
    <n v="0.97276234567901232"/>
  </r>
  <r>
    <x v="40"/>
    <x v="1"/>
    <x v="1"/>
    <x v="7"/>
    <x v="0"/>
    <d v="1899-12-30T00:50:43"/>
    <d v="1899-12-30T08:00:00"/>
    <d v="1899-12-30T15:12:38"/>
    <d v="1899-12-30T07:12:38"/>
    <d v="1899-12-30T07:12:00"/>
    <d v="1899-12-30T00:00:38"/>
    <m/>
    <n v="0.11722782957084522"/>
    <n v="1.0014660493827161"/>
  </r>
  <r>
    <x v="40"/>
    <x v="1"/>
    <x v="1"/>
    <x v="19"/>
    <x v="2"/>
    <d v="1899-12-30T00:54:59"/>
    <d v="1899-12-30T10:01:06"/>
    <d v="1899-12-30T16:34:01"/>
    <d v="1899-12-30T06:32:55"/>
    <d v="1899-12-30T07:12:00"/>
    <m/>
    <d v="1899-12-30T00:39:05"/>
    <n v="0.13993637327677627"/>
    <n v="0.90952932098765416"/>
  </r>
  <r>
    <x v="40"/>
    <x v="1"/>
    <x v="1"/>
    <x v="10"/>
    <x v="3"/>
    <d v="1899-12-30T01:19:50"/>
    <d v="1899-12-30T08:00:00"/>
    <d v="1899-12-30T15:12:34"/>
    <d v="1899-12-30T07:12:34"/>
    <d v="1899-12-30T07:12:00"/>
    <d v="1899-12-30T00:00:34"/>
    <m/>
    <n v="0.18455729367342222"/>
    <n v="1.0013117283950619"/>
  </r>
  <r>
    <x v="40"/>
    <x v="1"/>
    <x v="1"/>
    <x v="11"/>
    <x v="4"/>
    <d v="1899-12-30T00:52:05"/>
    <d v="1899-12-30T08:01:48"/>
    <d v="1899-12-30T15:13:43"/>
    <d v="1899-12-30T07:11:55"/>
    <d v="1899-12-30T07:12:00"/>
    <m/>
    <d v="1899-12-30T00:00:05"/>
    <n v="0.12058653289600618"/>
    <n v="0.99980709876543217"/>
  </r>
  <r>
    <x v="40"/>
    <x v="1"/>
    <x v="1"/>
    <x v="13"/>
    <x v="0"/>
    <d v="1899-12-30T00:45:00"/>
    <d v="1899-12-30T08:00:44"/>
    <d v="1899-12-30T15:17:37"/>
    <d v="1899-12-30T07:16:53"/>
    <d v="1899-12-30T07:12:00"/>
    <d v="1899-12-30T00:04:53"/>
    <m/>
    <n v="0.10300232708961203"/>
    <n v="1.0113040123456791"/>
  </r>
  <r>
    <x v="40"/>
    <x v="1"/>
    <x v="1"/>
    <x v="14"/>
    <x v="0"/>
    <d v="1899-12-30T00:58:34"/>
    <d v="1899-12-30T08:01:09"/>
    <d v="1899-12-30T15:13:02"/>
    <d v="1899-12-30T07:11:53"/>
    <d v="1899-12-30T07:12:00"/>
    <m/>
    <d v="1899-12-30T00:00:07"/>
    <n v="0.13560761007988267"/>
    <n v="0.99972993827160506"/>
  </r>
  <r>
    <x v="40"/>
    <x v="1"/>
    <x v="1"/>
    <x v="15"/>
    <x v="0"/>
    <d v="1899-12-30T00:47:47"/>
    <d v="1899-12-30T10:45:04"/>
    <d v="1899-12-30T18:00:00"/>
    <d v="1899-12-30T07:14:56"/>
    <d v="1899-12-30T07:12:00"/>
    <d v="1899-12-30T00:02:56"/>
    <m/>
    <n v="0.10986358062538319"/>
    <n v="1.0067901234567902"/>
  </r>
  <r>
    <x v="40"/>
    <x v="1"/>
    <x v="1"/>
    <x v="16"/>
    <x v="0"/>
    <d v="1899-12-30T01:25:48"/>
    <d v="1899-12-30T08:01:45"/>
    <d v="1899-12-30T15:15:03"/>
    <d v="1899-12-30T07:13:18"/>
    <d v="1899-12-30T07:12:00"/>
    <d v="1899-12-30T00:01:18"/>
    <m/>
    <n v="0.19801523194091855"/>
    <n v="1.0030092592592592"/>
  </r>
  <r>
    <x v="40"/>
    <x v="1"/>
    <x v="1"/>
    <x v="17"/>
    <x v="2"/>
    <d v="1899-12-30T00:55:30"/>
    <d v="1899-12-30T10:02:45"/>
    <d v="1899-12-30T18:00:00"/>
    <d v="1899-12-30T07:57:15"/>
    <d v="1899-12-30T07:12:00"/>
    <d v="1899-12-30T00:45:15"/>
    <m/>
    <n v="0.11629125196437926"/>
    <n v="1.1047453703703705"/>
  </r>
  <r>
    <x v="40"/>
    <x v="1"/>
    <x v="1"/>
    <x v="18"/>
    <x v="2"/>
    <d v="1899-12-30T00:43:08"/>
    <d v="1899-12-30T08:09:12"/>
    <d v="1899-12-30T15:12:23"/>
    <d v="1899-12-30T07:03:11"/>
    <d v="1899-12-30T07:12:00"/>
    <m/>
    <d v="1899-12-30T00:08:49"/>
    <n v="0.10192587924855262"/>
    <n v="0.97959104938271635"/>
  </r>
  <r>
    <x v="41"/>
    <x v="1"/>
    <x v="2"/>
    <x v="1"/>
    <x v="3"/>
    <d v="1899-12-30T01:03:01"/>
    <d v="1899-12-30T12:12:47"/>
    <d v="1899-12-30T18:00:06"/>
    <d v="1899-12-30T05:47:19"/>
    <d v="1899-12-30T06:00:00"/>
    <m/>
    <d v="1899-12-30T00:12:41"/>
    <n v="0.18143864868755694"/>
    <n v="0.96476851851851864"/>
  </r>
  <r>
    <x v="41"/>
    <x v="1"/>
    <x v="2"/>
    <x v="2"/>
    <x v="2"/>
    <d v="1899-12-30T00:30:42"/>
    <d v="1899-12-30T13:03:38"/>
    <d v="1899-12-30T19:04:15"/>
    <d v="1899-12-30T06:00:37"/>
    <d v="1899-12-30T07:12:00"/>
    <m/>
    <d v="1899-12-30T01:11:23"/>
    <n v="8.5131949900633164E-2"/>
    <n v="0.83476080246913598"/>
  </r>
  <r>
    <x v="41"/>
    <x v="1"/>
    <x v="2"/>
    <x v="5"/>
    <x v="0"/>
    <d v="1899-12-30T01:08:15"/>
    <d v="1899-12-30T08:18:05"/>
    <d v="1899-12-30T16:45:21"/>
    <d v="1899-12-30T08:27:16"/>
    <d v="1899-12-30T07:12:00"/>
    <d v="1899-12-30T01:15:16"/>
    <m/>
    <n v="0.13454461821527139"/>
    <n v="1.1742283950617285"/>
  </r>
  <r>
    <x v="41"/>
    <x v="1"/>
    <x v="2"/>
    <x v="7"/>
    <x v="0"/>
    <d v="1899-12-30T00:49:22"/>
    <d v="1899-12-30T08:00:00"/>
    <d v="1899-12-30T15:12:35"/>
    <d v="1899-12-30T07:12:35"/>
    <d v="1899-12-30T07:12:00"/>
    <d v="1899-12-30T00:00:35"/>
    <m/>
    <n v="0.11412059333461762"/>
    <n v="1.0013503086419753"/>
  </r>
  <r>
    <x v="41"/>
    <x v="1"/>
    <x v="2"/>
    <x v="19"/>
    <x v="2"/>
    <d v="1899-12-30T00:41:29"/>
    <d v="1899-12-30T11:02:55"/>
    <d v="1899-12-30T18:02:29"/>
    <d v="1899-12-30T06:59:34"/>
    <d v="1899-12-30T07:12:00"/>
    <m/>
    <d v="1899-12-30T00:12:26"/>
    <n v="9.8871851910701511E-2"/>
    <n v="0.9712191358024691"/>
  </r>
  <r>
    <x v="41"/>
    <x v="1"/>
    <x v="2"/>
    <x v="11"/>
    <x v="4"/>
    <d v="1899-12-30T00:51:39"/>
    <d v="1899-12-30T08:00:08"/>
    <d v="1899-12-30T16:14:37"/>
    <d v="1899-12-30T08:14:29"/>
    <d v="1899-12-30T07:12:00"/>
    <d v="1899-12-30T01:02:29"/>
    <m/>
    <n v="0.10445245879537565"/>
    <n v="1.1446373456790124"/>
  </r>
  <r>
    <x v="41"/>
    <x v="1"/>
    <x v="2"/>
    <x v="13"/>
    <x v="0"/>
    <d v="1899-12-30T00:50:06"/>
    <d v="1899-12-30T08:00:56"/>
    <d v="1899-12-30T17:12:12"/>
    <d v="1899-12-30T09:11:16"/>
    <d v="1899-12-30T07:12:00"/>
    <d v="1899-12-30T01:59:16"/>
    <m/>
    <n v="9.0881605998306927E-2"/>
    <n v="1.2760802469135804"/>
  </r>
  <r>
    <x v="41"/>
    <x v="1"/>
    <x v="2"/>
    <x v="14"/>
    <x v="0"/>
    <d v="1899-12-30T01:09:02"/>
    <d v="1899-12-30T10:48:41"/>
    <d v="1899-12-30T18:01:56"/>
    <d v="1899-12-30T07:13:15"/>
    <d v="1899-12-30T07:12:00"/>
    <d v="1899-12-30T00:01:15"/>
    <m/>
    <n v="0.15933833429505675"/>
    <n v="1.0028935185185186"/>
  </r>
  <r>
    <x v="41"/>
    <x v="1"/>
    <x v="2"/>
    <x v="15"/>
    <x v="0"/>
    <d v="1899-12-30T01:06:58"/>
    <d v="1899-12-30T10:48:19"/>
    <d v="1899-12-30T18:00:08"/>
    <d v="1899-12-30T07:11:49"/>
    <d v="1899-12-30T07:12:00"/>
    <m/>
    <d v="1899-12-30T00:00:11"/>
    <n v="0.15508124589910841"/>
    <n v="0.99957561728395083"/>
  </r>
  <r>
    <x v="41"/>
    <x v="1"/>
    <x v="2"/>
    <x v="16"/>
    <x v="0"/>
    <d v="1899-12-30T01:13:56"/>
    <d v="1899-12-30T08:00:51"/>
    <d v="1899-12-30T15:12:29"/>
    <d v="1899-12-30T07:11:38"/>
    <d v="1899-12-30T07:12:00"/>
    <m/>
    <d v="1899-12-30T00:00:22"/>
    <n v="0.1712873580971504"/>
    <n v="0.999151234567901"/>
  </r>
  <r>
    <x v="41"/>
    <x v="1"/>
    <x v="2"/>
    <x v="17"/>
    <x v="2"/>
    <d v="1899-12-30T00:47:20"/>
    <d v="1899-12-30T10:58:32"/>
    <d v="1899-12-30T18:05:02"/>
    <d v="1899-12-30T07:06:30"/>
    <d v="1899-12-30T07:12:00"/>
    <m/>
    <d v="1899-12-30T00:05:30"/>
    <n v="0.11098085189527158"/>
    <n v="0.9872685185185186"/>
  </r>
  <r>
    <x v="41"/>
    <x v="1"/>
    <x v="2"/>
    <x v="18"/>
    <x v="2"/>
    <d v="1899-12-30T00:48:40"/>
    <d v="1899-12-30T08:17:30"/>
    <d v="1899-12-30T15:46:53"/>
    <d v="1899-12-30T07:29:23"/>
    <d v="1899-12-30T07:12:00"/>
    <d v="1899-12-30T00:17:23"/>
    <m/>
    <n v="0.1082965545376998"/>
    <n v="1.0402391975308642"/>
  </r>
  <r>
    <x v="42"/>
    <x v="1"/>
    <x v="2"/>
    <x v="1"/>
    <x v="3"/>
    <d v="1899-12-30T01:18:47"/>
    <d v="1899-12-30T12:09:38"/>
    <d v="1899-12-30T18:00:37"/>
    <d v="1899-12-30T05:50:59"/>
    <d v="1899-12-30T06:00:00"/>
    <m/>
    <d v="1899-12-30T00:09:01"/>
    <n v="0.22446459945866371"/>
    <n v="0.97495370370370393"/>
  </r>
  <r>
    <x v="42"/>
    <x v="1"/>
    <x v="2"/>
    <x v="2"/>
    <x v="2"/>
    <d v="1899-12-30T00:43:24"/>
    <d v="1899-12-30T12:50:33"/>
    <d v="1899-12-30T19:24:13"/>
    <d v="1899-12-30T06:33:40"/>
    <d v="1899-12-30T06:12:00"/>
    <d v="1899-12-30T00:21:40"/>
    <m/>
    <n v="0.1102455546147333"/>
    <n v="1.0582437275985661"/>
  </r>
  <r>
    <x v="42"/>
    <x v="1"/>
    <x v="2"/>
    <x v="5"/>
    <x v="0"/>
    <d v="1899-12-30T01:05:28"/>
    <d v="1899-12-30T08:04:44"/>
    <d v="1899-12-30T17:12:21"/>
    <d v="1899-12-30T09:07:37"/>
    <d v="1899-12-30T07:12:00"/>
    <d v="1899-12-30T01:55:37"/>
    <m/>
    <n v="0.11954834586237328"/>
    <n v="1.2676311728395064"/>
  </r>
  <r>
    <x v="42"/>
    <x v="1"/>
    <x v="2"/>
    <x v="7"/>
    <x v="0"/>
    <d v="1899-12-30T01:15:44"/>
    <d v="1899-12-30T08:00:02"/>
    <d v="1899-12-30T16:01:29"/>
    <d v="1899-12-30T08:01:27"/>
    <d v="1899-12-30T07:12:00"/>
    <d v="1899-12-30T00:49:27"/>
    <m/>
    <n v="0.15730259286184095"/>
    <n v="1.1144675925925926"/>
  </r>
  <r>
    <x v="42"/>
    <x v="1"/>
    <x v="2"/>
    <x v="19"/>
    <x v="2"/>
    <d v="1899-12-30T00:32:07"/>
    <d v="1899-12-30T11:02:27"/>
    <d v="1899-12-30T18:00:58"/>
    <d v="1899-12-30T06:58:31"/>
    <d v="1899-12-30T07:12:00"/>
    <m/>
    <d v="1899-12-30T00:13:29"/>
    <n v="7.6739277607423065E-2"/>
    <n v="0.96878858024691339"/>
  </r>
  <r>
    <x v="42"/>
    <x v="1"/>
    <x v="2"/>
    <x v="11"/>
    <x v="4"/>
    <d v="1899-12-30T01:04:45"/>
    <d v="1899-12-30T08:00:07"/>
    <d v="1899-12-30T17:13:54"/>
    <d v="1899-12-30T09:13:47"/>
    <d v="1899-12-30T07:12:00"/>
    <d v="1899-12-30T02:01:47"/>
    <m/>
    <n v="0.11692298431998074"/>
    <n v="1.2819058641975309"/>
  </r>
  <r>
    <x v="42"/>
    <x v="1"/>
    <x v="2"/>
    <x v="13"/>
    <x v="0"/>
    <d v="1899-12-30T00:56:30"/>
    <d v="1899-12-30T08:02:03"/>
    <d v="1899-12-30T17:12:43"/>
    <d v="1899-12-30T09:10:40"/>
    <d v="1899-12-30T07:12:00"/>
    <d v="1899-12-30T01:58:40"/>
    <m/>
    <n v="0.10260290556900724"/>
    <n v="1.2746913580246917"/>
  </r>
  <r>
    <x v="42"/>
    <x v="1"/>
    <x v="2"/>
    <x v="14"/>
    <x v="0"/>
    <d v="1899-12-30T01:05:49"/>
    <d v="1899-12-30T10:44:10"/>
    <d v="1899-12-30T18:00:22"/>
    <d v="1899-12-30T07:16:12"/>
    <d v="1899-12-30T07:12:00"/>
    <d v="1899-12-30T00:04:12"/>
    <m/>
    <n v="0.15088644352743391"/>
    <n v="1.0097222222222222"/>
  </r>
  <r>
    <x v="42"/>
    <x v="1"/>
    <x v="2"/>
    <x v="15"/>
    <x v="0"/>
    <d v="1899-12-30T01:03:17"/>
    <d v="1899-12-30T10:16:29"/>
    <d v="1899-12-30T18:00:26"/>
    <d v="1899-12-30T07:43:57"/>
    <d v="1899-12-30T07:12:00"/>
    <d v="1899-12-30T00:31:57"/>
    <m/>
    <n v="0.13640119265725476"/>
    <n v="1.0739583333333333"/>
  </r>
  <r>
    <x v="42"/>
    <x v="1"/>
    <x v="2"/>
    <x v="17"/>
    <x v="2"/>
    <d v="1899-12-30T00:50:18"/>
    <d v="1899-12-30T10:50:16"/>
    <d v="1899-12-30T18:03:52"/>
    <d v="1899-12-30T07:13:36"/>
    <d v="1899-12-30T07:12:00"/>
    <d v="1899-12-30T00:01:36"/>
    <m/>
    <n v="0.11600553505535054"/>
    <n v="1.003703703703704"/>
  </r>
  <r>
    <x v="42"/>
    <x v="1"/>
    <x v="2"/>
    <x v="18"/>
    <x v="2"/>
    <d v="1899-12-30T00:43:29"/>
    <d v="1899-12-30T08:00:18"/>
    <d v="1899-12-30T17:12:03"/>
    <d v="1899-12-30T09:11:45"/>
    <d v="1899-12-30T07:12:00"/>
    <d v="1899-12-30T01:59:45"/>
    <m/>
    <n v="7.8809847455067208E-2"/>
    <n v="1.2771990740740742"/>
  </r>
  <r>
    <x v="43"/>
    <x v="1"/>
    <x v="2"/>
    <x v="0"/>
    <x v="0"/>
    <d v="1899-12-30T00:58:12"/>
    <d v="1899-12-30T08:00:47"/>
    <d v="1899-12-30T15:55:26"/>
    <d v="1899-12-30T07:54:39"/>
    <d v="1899-12-30T07:12:00"/>
    <d v="1899-12-30T00:42:39"/>
    <m/>
    <n v="0.12261666491098705"/>
    <n v="1.0987268518518518"/>
  </r>
  <r>
    <x v="43"/>
    <x v="1"/>
    <x v="2"/>
    <x v="1"/>
    <x v="3"/>
    <d v="1899-12-30T01:11:56"/>
    <d v="1899-12-30T12:09:41"/>
    <d v="1899-12-30T18:00:17"/>
    <d v="1899-12-30T05:50:36"/>
    <d v="1899-12-30T06:00:00"/>
    <m/>
    <d v="1899-12-30T00:09:24"/>
    <n v="0.20517208594789885"/>
    <n v="0.9738888888888888"/>
  </r>
  <r>
    <x v="43"/>
    <x v="1"/>
    <x v="2"/>
    <x v="2"/>
    <x v="2"/>
    <d v="1899-12-30T00:46:45"/>
    <d v="1899-12-30T12:19:39"/>
    <d v="1899-12-30T19:11:04"/>
    <d v="1899-12-30T06:51:25"/>
    <d v="1899-12-30T06:12:00"/>
    <d v="1899-12-30T00:39:25"/>
    <m/>
    <n v="0.11363176017824592"/>
    <n v="1.1059587813620071"/>
  </r>
  <r>
    <x v="43"/>
    <x v="1"/>
    <x v="2"/>
    <x v="5"/>
    <x v="0"/>
    <d v="1899-12-30T01:06:32"/>
    <d v="1899-12-30T08:01:28"/>
    <d v="1899-12-30T15:13:12"/>
    <d v="1899-12-30T07:11:44"/>
    <d v="1899-12-30T07:12:00"/>
    <m/>
    <d v="1899-12-30T00:00:16"/>
    <n v="0.15410747374922792"/>
    <n v="0.99938271604938278"/>
  </r>
  <r>
    <x v="43"/>
    <x v="1"/>
    <x v="2"/>
    <x v="6"/>
    <x v="3"/>
    <d v="1899-12-30T00:54:14"/>
    <d v="1899-12-30T10:40:54"/>
    <d v="1899-12-30T18:02:27"/>
    <d v="1899-12-30T07:21:33"/>
    <d v="1899-12-30T07:12:00"/>
    <d v="1899-12-30T00:09:33"/>
    <m/>
    <n v="0.12282489714264144"/>
    <n v="1.0221064814814815"/>
  </r>
  <r>
    <x v="43"/>
    <x v="1"/>
    <x v="2"/>
    <x v="7"/>
    <x v="0"/>
    <d v="1899-12-30T00:51:29"/>
    <d v="1899-12-30T08:00:17"/>
    <d v="1899-12-30T16:00:28"/>
    <d v="1899-12-30T08:00:11"/>
    <d v="1899-12-30T07:12:00"/>
    <d v="1899-12-30T00:48:11"/>
    <m/>
    <n v="0.10721599389122211"/>
    <n v="1.1115354938271604"/>
  </r>
  <r>
    <x v="43"/>
    <x v="1"/>
    <x v="2"/>
    <x v="19"/>
    <x v="2"/>
    <d v="1899-12-30T00:47:13"/>
    <d v="1899-12-30T11:05:19"/>
    <d v="1899-12-30T18:00:39"/>
    <d v="1899-12-30T06:55:20"/>
    <d v="1899-12-30T07:12:00"/>
    <m/>
    <d v="1899-12-30T00:16:40"/>
    <n v="0.1136837881219904"/>
    <n v="0.96141975308641958"/>
  </r>
  <r>
    <x v="43"/>
    <x v="1"/>
    <x v="2"/>
    <x v="11"/>
    <x v="4"/>
    <d v="1899-12-30T00:50:20"/>
    <d v="1899-12-30T08:00:03"/>
    <d v="1899-12-30T15:13:25"/>
    <d v="1899-12-30T07:13:22"/>
    <d v="1899-12-30T07:12:00"/>
    <d v="1899-12-30T00:01:22"/>
    <m/>
    <n v="0.11614491192985155"/>
    <n v="1.0031635802469137"/>
  </r>
  <r>
    <x v="43"/>
    <x v="1"/>
    <x v="2"/>
    <x v="13"/>
    <x v="0"/>
    <d v="1899-12-30T00:49:38"/>
    <d v="1899-12-30T08:00:38"/>
    <d v="1899-12-30T15:13:02"/>
    <d v="1899-12-30T07:12:24"/>
    <d v="1899-12-30T07:12:00"/>
    <d v="1899-12-30T00:00:24"/>
    <m/>
    <n v="0.11478569226025284"/>
    <n v="1.000925925925926"/>
  </r>
  <r>
    <x v="43"/>
    <x v="1"/>
    <x v="2"/>
    <x v="14"/>
    <x v="0"/>
    <d v="1899-12-30T01:12:52"/>
    <d v="1899-12-30T10:47:47"/>
    <d v="1899-12-30T18:00:26"/>
    <d v="1899-12-30T07:12:39"/>
    <d v="1899-12-30T07:12:00"/>
    <d v="1899-12-30T00:00:39"/>
    <m/>
    <n v="0.16841943064062562"/>
    <n v="1.0015046296296295"/>
  </r>
  <r>
    <x v="43"/>
    <x v="1"/>
    <x v="2"/>
    <x v="15"/>
    <x v="0"/>
    <d v="1899-12-30T01:04:58"/>
    <d v="1899-12-30T10:38:55"/>
    <d v="1899-12-30T18:00:40"/>
    <d v="1899-12-30T07:21:45"/>
    <d v="1899-12-30T07:12:00"/>
    <d v="1899-12-30T00:09:45"/>
    <m/>
    <n v="0.14706659120920579"/>
    <n v="1.0225694444444446"/>
  </r>
  <r>
    <x v="43"/>
    <x v="1"/>
    <x v="2"/>
    <x v="16"/>
    <x v="0"/>
    <d v="1899-12-30T01:16:32"/>
    <d v="1899-12-30T08:04:43"/>
    <d v="1899-12-30T16:01:51"/>
    <d v="1899-12-30T07:57:08"/>
    <d v="1899-12-30T07:12:00"/>
    <d v="1899-12-30T00:45:08"/>
    <m/>
    <n v="0.16040240324158164"/>
    <n v="1.1044753086419754"/>
  </r>
  <r>
    <x v="43"/>
    <x v="1"/>
    <x v="2"/>
    <x v="17"/>
    <x v="2"/>
    <d v="1899-12-30T00:59:56"/>
    <d v="1899-12-30T10:58:38"/>
    <d v="1899-12-30T18:04:03"/>
    <d v="1899-12-30T07:05:25"/>
    <d v="1899-12-30T07:12:00"/>
    <m/>
    <d v="1899-12-30T00:06:35"/>
    <n v="0.14088148873653281"/>
    <n v="0.98476080246913589"/>
  </r>
  <r>
    <x v="43"/>
    <x v="1"/>
    <x v="2"/>
    <x v="18"/>
    <x v="2"/>
    <d v="1899-12-30T01:19:20"/>
    <d v="1899-12-30T08:01:27"/>
    <d v="1899-12-30T17:16:35"/>
    <d v="1899-12-30T09:15:08"/>
    <d v="1899-12-30T07:12:00"/>
    <d v="1899-12-30T02:03:08"/>
    <m/>
    <n v="0.14290861054401346"/>
    <n v="1.285030864197531"/>
  </r>
  <r>
    <x v="44"/>
    <x v="1"/>
    <x v="2"/>
    <x v="0"/>
    <x v="0"/>
    <d v="1899-12-30T00:59:57"/>
    <d v="1899-12-30T08:00:34"/>
    <d v="1899-12-30T15:18:10"/>
    <d v="1899-12-30T07:17:36"/>
    <d v="1899-12-30T07:12:00"/>
    <d v="1899-12-30T00:05:36"/>
    <m/>
    <n v="0.13699725776965263"/>
    <n v="1.0129629629629631"/>
  </r>
  <r>
    <x v="44"/>
    <x v="1"/>
    <x v="2"/>
    <x v="1"/>
    <x v="3"/>
    <d v="1899-12-30T01:14:51"/>
    <d v="1899-12-30T13:06:34"/>
    <d v="1899-12-30T18:00:26"/>
    <d v="1899-12-30T04:53:52"/>
    <d v="1899-12-30T06:00:00"/>
    <m/>
    <d v="1899-12-30T01:06:08"/>
    <n v="0.25470735027223229"/>
    <n v="0.8162962962962963"/>
  </r>
  <r>
    <x v="44"/>
    <x v="1"/>
    <x v="2"/>
    <x v="2"/>
    <x v="2"/>
    <d v="1899-12-30T00:48:59"/>
    <d v="1899-12-30T10:04:53"/>
    <d v="1899-12-30T19:08:12"/>
    <d v="1899-12-30T09:03:19"/>
    <d v="1899-12-30T06:12:00"/>
    <d v="1899-12-30T02:51:19"/>
    <m/>
    <n v="9.015613975888831E-2"/>
    <n v="1.4605286738351253"/>
  </r>
  <r>
    <x v="44"/>
    <x v="1"/>
    <x v="2"/>
    <x v="5"/>
    <x v="0"/>
    <d v="1899-12-30T01:02:13"/>
    <d v="1899-12-30T08:22:03"/>
    <d v="1899-12-30T15:12:46"/>
    <d v="1899-12-30T06:50:43"/>
    <d v="1899-12-30T07:12:00"/>
    <m/>
    <d v="1899-12-30T00:21:17"/>
    <n v="0.15148317980765327"/>
    <n v="0.95073302469135812"/>
  </r>
  <r>
    <x v="44"/>
    <x v="1"/>
    <x v="2"/>
    <x v="6"/>
    <x v="3"/>
    <d v="1899-12-30T00:54:27"/>
    <d v="1899-12-30T10:40:20"/>
    <d v="1899-12-30T18:02:03"/>
    <d v="1899-12-30T07:21:43"/>
    <d v="1899-12-30T07:12:00"/>
    <d v="1899-12-30T00:09:43"/>
    <m/>
    <n v="0.1232690638795608"/>
    <n v="1.0224922839506174"/>
  </r>
  <r>
    <x v="44"/>
    <x v="1"/>
    <x v="2"/>
    <x v="7"/>
    <x v="0"/>
    <d v="1899-12-30T01:03:23"/>
    <d v="1899-12-30T08:00:36"/>
    <d v="1899-12-30T16:00:29"/>
    <d v="1899-12-30T07:59:53"/>
    <d v="1899-12-30T07:12:00"/>
    <d v="1899-12-30T00:47:53"/>
    <m/>
    <n v="0.1320807140624457"/>
    <n v="1.1108410493827163"/>
  </r>
  <r>
    <x v="44"/>
    <x v="1"/>
    <x v="2"/>
    <x v="19"/>
    <x v="2"/>
    <d v="1899-12-30T00:43:37"/>
    <d v="1899-12-30T10:31:44"/>
    <d v="1899-12-30T18:02:31"/>
    <d v="1899-12-30T07:30:47"/>
    <d v="1899-12-30T07:12:00"/>
    <d v="1899-12-30T00:18:47"/>
    <m/>
    <n v="9.6757496210300581E-2"/>
    <n v="1.0434799382716051"/>
  </r>
  <r>
    <x v="44"/>
    <x v="1"/>
    <x v="2"/>
    <x v="11"/>
    <x v="4"/>
    <d v="1899-12-30T00:54:42"/>
    <d v="1899-12-30T08:02:26"/>
    <d v="1899-12-30T16:14:46"/>
    <d v="1899-12-30T08:12:20"/>
    <d v="1899-12-30T07:12:00"/>
    <d v="1899-12-30T01:00:20"/>
    <m/>
    <n v="0.1111035883547732"/>
    <n v="1.1396604938271604"/>
  </r>
  <r>
    <x v="44"/>
    <x v="1"/>
    <x v="2"/>
    <x v="13"/>
    <x v="0"/>
    <d v="1899-12-30T00:54:26"/>
    <d v="1899-12-30T08:00:40"/>
    <d v="1899-12-30T16:36:57"/>
    <d v="1899-12-30T08:36:17"/>
    <d v="1899-12-30T07:12:00"/>
    <d v="1899-12-30T01:24:17"/>
    <m/>
    <n v="0.10543306324046875"/>
    <n v="1.1951003086419751"/>
  </r>
  <r>
    <x v="44"/>
    <x v="1"/>
    <x v="2"/>
    <x v="14"/>
    <x v="0"/>
    <d v="1899-12-30T01:05:38"/>
    <d v="1899-12-30T10:27:45"/>
    <d v="1899-12-30T18:00:32"/>
    <d v="1899-12-30T07:32:47"/>
    <d v="1899-12-30T07:12:00"/>
    <d v="1899-12-30T00:20:47"/>
    <m/>
    <n v="0.14495527662237273"/>
    <n v="1.0481095679012347"/>
  </r>
  <r>
    <x v="44"/>
    <x v="1"/>
    <x v="2"/>
    <x v="15"/>
    <x v="0"/>
    <d v="1899-12-30T01:11:16"/>
    <d v="1899-12-30T11:02:06"/>
    <d v="1899-12-30T18:02:14"/>
    <d v="1899-12-30T07:00:08"/>
    <d v="1899-12-30T07:12:00"/>
    <m/>
    <d v="1899-12-30T00:11:52"/>
    <n v="0.16962868930498257"/>
    <n v="0.97253086419753076"/>
  </r>
  <r>
    <x v="44"/>
    <x v="1"/>
    <x v="2"/>
    <x v="16"/>
    <x v="0"/>
    <d v="1899-12-30T01:18:14"/>
    <d v="1899-12-30T08:07:39"/>
    <d v="1899-12-30T15:45:19"/>
    <d v="1899-12-30T07:37:40"/>
    <d v="1899-12-30T07:12:00"/>
    <d v="1899-12-30T00:25:40"/>
    <m/>
    <n v="0.17093954843408593"/>
    <n v="1.0594135802469138"/>
  </r>
  <r>
    <x v="44"/>
    <x v="1"/>
    <x v="2"/>
    <x v="17"/>
    <x v="2"/>
    <d v="1899-12-30T01:10:36"/>
    <d v="1899-12-30T11:46:46"/>
    <d v="1899-12-30T18:04:03"/>
    <d v="1899-12-30T06:17:17"/>
    <d v="1899-12-30T07:12:00"/>
    <m/>
    <d v="1899-12-30T00:54:43"/>
    <n v="0.18712726951451167"/>
    <n v="0.87334104938271595"/>
  </r>
  <r>
    <x v="44"/>
    <x v="1"/>
    <x v="2"/>
    <x v="18"/>
    <x v="2"/>
    <d v="1899-12-30T00:46:00"/>
    <d v="1899-12-30T08:19:46"/>
    <d v="1899-12-30T15:23:06"/>
    <d v="1899-12-30T07:03:20"/>
    <d v="1899-12-30T07:12:00"/>
    <m/>
    <d v="1899-12-30T00:08:40"/>
    <n v="0.10866141732283464"/>
    <n v="0.97993827160493818"/>
  </r>
  <r>
    <x v="45"/>
    <x v="1"/>
    <x v="2"/>
    <x v="0"/>
    <x v="0"/>
    <d v="1899-12-30T01:01:21"/>
    <d v="1899-12-30T09:25:22"/>
    <d v="1899-12-30T17:02:29"/>
    <d v="1899-12-30T07:37:07"/>
    <d v="1899-12-30T07:12:00"/>
    <d v="1899-12-30T00:25:07"/>
    <m/>
    <n v="0.13421081416122799"/>
    <n v="1.0581404320987655"/>
  </r>
  <r>
    <x v="45"/>
    <x v="1"/>
    <x v="2"/>
    <x v="2"/>
    <x v="2"/>
    <d v="1899-12-30T00:53:30"/>
    <d v="1899-12-30T09:18:57"/>
    <d v="1899-12-30T18:58:07"/>
    <d v="1899-12-30T09:39:10"/>
    <d v="1899-12-30T06:00:00"/>
    <d v="1899-12-30T03:39:10"/>
    <m/>
    <n v="9.2374100719424451E-2"/>
    <n v="1.6087962962962965"/>
  </r>
  <r>
    <x v="45"/>
    <x v="1"/>
    <x v="2"/>
    <x v="5"/>
    <x v="0"/>
    <d v="1899-12-30T01:06:56"/>
    <d v="1899-12-30T08:06:26"/>
    <d v="1899-12-30T15:12:55"/>
    <d v="1899-12-30T07:06:29"/>
    <d v="1899-12-30T07:12:00"/>
    <m/>
    <d v="1899-12-30T00:05:31"/>
    <n v="0.15694243620305598"/>
    <n v="0.9872299382716051"/>
  </r>
  <r>
    <x v="45"/>
    <x v="1"/>
    <x v="2"/>
    <x v="6"/>
    <x v="3"/>
    <d v="1899-12-30T00:51:29"/>
    <d v="1899-12-30T10:21:26"/>
    <d v="1899-12-30T18:01:17"/>
    <d v="1899-12-30T07:39:51"/>
    <d v="1899-12-30T07:12:00"/>
    <d v="1899-12-30T00:27:51"/>
    <m/>
    <n v="0.11195679750643327"/>
    <n v="1.0644675925925926"/>
  </r>
  <r>
    <x v="45"/>
    <x v="1"/>
    <x v="2"/>
    <x v="7"/>
    <x v="0"/>
    <d v="1899-12-30T00:59:23"/>
    <d v="1899-12-30T08:00:40"/>
    <d v="1899-12-30T15:12:38"/>
    <d v="1899-12-30T07:11:58"/>
    <d v="1899-12-30T07:12:00"/>
    <m/>
    <d v="1899-12-30T00:00:02"/>
    <n v="0.13747202716258974"/>
    <n v="0.99992283950617267"/>
  </r>
  <r>
    <x v="45"/>
    <x v="1"/>
    <x v="2"/>
    <x v="19"/>
    <x v="2"/>
    <d v="1899-12-30T00:48:21"/>
    <d v="1899-12-30T10:06:08"/>
    <d v="1899-12-30T17:00:31"/>
    <d v="1899-12-30T06:54:23"/>
    <d v="1899-12-30T07:12:00"/>
    <m/>
    <d v="1899-12-30T00:17:37"/>
    <n v="0.11667940312914776"/>
    <n v="0.95922067901234553"/>
  </r>
  <r>
    <x v="45"/>
    <x v="1"/>
    <x v="2"/>
    <x v="11"/>
    <x v="4"/>
    <d v="1899-12-30T01:06:10"/>
    <d v="1899-12-30T08:02:01"/>
    <d v="1899-12-30T15:15:18"/>
    <d v="1899-12-30T07:13:17"/>
    <d v="1899-12-30T07:12:00"/>
    <d v="1899-12-30T00:01:17"/>
    <m/>
    <n v="0.1527099280686233"/>
    <n v="1.0029706790123458"/>
  </r>
  <r>
    <x v="45"/>
    <x v="1"/>
    <x v="2"/>
    <x v="13"/>
    <x v="0"/>
    <d v="1899-12-30T00:53:00"/>
    <d v="1899-12-30T08:00:51"/>
    <d v="1899-12-30T15:12:38"/>
    <d v="1899-12-30T07:11:47"/>
    <d v="1899-12-30T07:12:00"/>
    <m/>
    <d v="1899-12-30T00:00:13"/>
    <n v="0.1227467479831706"/>
    <n v="0.99949845679012328"/>
  </r>
  <r>
    <x v="45"/>
    <x v="1"/>
    <x v="2"/>
    <x v="14"/>
    <x v="0"/>
    <d v="1899-12-30T01:00:58"/>
    <d v="1899-12-30T10:13:30"/>
    <d v="1899-12-30T18:00:31"/>
    <d v="1899-12-30T07:47:01"/>
    <d v="1899-12-30T07:12:00"/>
    <d v="1899-12-30T00:35:01"/>
    <m/>
    <n v="0.1305449484315335"/>
    <n v="1.0810570987654322"/>
  </r>
  <r>
    <x v="45"/>
    <x v="1"/>
    <x v="2"/>
    <x v="15"/>
    <x v="0"/>
    <d v="1899-12-30T01:07:15"/>
    <d v="1899-12-30T09:24:19"/>
    <d v="1899-12-30T18:00:28"/>
    <d v="1899-12-30T08:36:09"/>
    <d v="1899-12-30T07:12:00"/>
    <d v="1899-12-30T01:24:09"/>
    <m/>
    <n v="0.13029158190448512"/>
    <n v="1.1947916666666667"/>
  </r>
  <r>
    <x v="45"/>
    <x v="1"/>
    <x v="2"/>
    <x v="17"/>
    <x v="2"/>
    <d v="1899-12-30T01:17:46"/>
    <d v="1899-12-30T10:21:18"/>
    <d v="1899-12-30T19:00:31"/>
    <d v="1899-12-30T08:39:13"/>
    <d v="1899-12-30T07:12:00"/>
    <d v="1899-12-30T01:27:13"/>
    <m/>
    <n v="0.14977690752094502"/>
    <n v="1.2018904320987653"/>
  </r>
  <r>
    <x v="45"/>
    <x v="1"/>
    <x v="2"/>
    <x v="18"/>
    <x v="2"/>
    <d v="1899-12-30T00:54:34"/>
    <d v="1899-12-30T08:05:37"/>
    <d v="1899-12-30T16:12:25"/>
    <d v="1899-12-30T08:06:48"/>
    <d v="1899-12-30T07:12:00"/>
    <d v="1899-12-30T00:54:48"/>
    <m/>
    <n v="0.11209257737606135"/>
    <n v="1.126851851851852"/>
  </r>
  <r>
    <x v="46"/>
    <x v="1"/>
    <x v="2"/>
    <x v="0"/>
    <x v="0"/>
    <d v="1899-12-30T01:03:59"/>
    <d v="1899-12-30T08:00:43"/>
    <d v="1899-12-30T17:12:20"/>
    <d v="1899-12-30T09:11:37"/>
    <d v="1899-12-30T07:12:00"/>
    <d v="1899-12-30T01:59:37"/>
    <m/>
    <n v="0.11599238601685956"/>
    <n v="1.2768904320987653"/>
  </r>
  <r>
    <x v="46"/>
    <x v="1"/>
    <x v="2"/>
    <x v="1"/>
    <x v="3"/>
    <d v="1899-12-30T01:01:18"/>
    <d v="1899-12-30T12:41:51"/>
    <d v="1899-12-30T18:00:31"/>
    <d v="1899-12-30T05:18:40"/>
    <d v="1899-12-30T06:00:00"/>
    <m/>
    <d v="1899-12-30T00:41:20"/>
    <n v="0.19236401673640166"/>
    <n v="0.8851851851851853"/>
  </r>
  <r>
    <x v="46"/>
    <x v="1"/>
    <x v="2"/>
    <x v="2"/>
    <x v="2"/>
    <d v="1899-12-30T00:44:25"/>
    <d v="1899-12-30T13:13:34"/>
    <d v="1899-12-30T19:12:30"/>
    <d v="1899-12-30T05:58:56"/>
    <d v="1899-12-30T06:00:00"/>
    <m/>
    <d v="1899-12-30T00:01:04"/>
    <n v="0.12374628528974739"/>
    <n v="0.99703703703703717"/>
  </r>
  <r>
    <x v="46"/>
    <x v="1"/>
    <x v="2"/>
    <x v="5"/>
    <x v="0"/>
    <d v="1899-12-30T01:09:15"/>
    <d v="1899-12-30T08:27:27"/>
    <d v="1899-12-30T17:13:51"/>
    <d v="1899-12-30T08:46:24"/>
    <d v="1899-12-30T07:12:00"/>
    <d v="1899-12-30T01:34:24"/>
    <m/>
    <n v="0.13155395136778117"/>
    <n v="1.2185185185185186"/>
  </r>
  <r>
    <x v="46"/>
    <x v="1"/>
    <x v="2"/>
    <x v="6"/>
    <x v="3"/>
    <d v="1899-12-30T01:11:38"/>
    <d v="1899-12-30T08:18:01"/>
    <d v="1899-12-30T16:09:32"/>
    <d v="1899-12-30T07:51:31"/>
    <d v="1899-12-30T07:12:00"/>
    <d v="1899-12-30T00:39:31"/>
    <m/>
    <n v="0.15192110565197411"/>
    <n v="1.091473765432099"/>
  </r>
  <r>
    <x v="46"/>
    <x v="1"/>
    <x v="2"/>
    <x v="7"/>
    <x v="0"/>
    <d v="1899-12-30T00:56:27"/>
    <d v="1899-12-30T08:00:01"/>
    <d v="1899-12-30T16:00:32"/>
    <d v="1899-12-30T08:00:31"/>
    <d v="1899-12-30T07:12:00"/>
    <d v="1899-12-30T00:48:31"/>
    <m/>
    <n v="0.11747771495959212"/>
    <n v="1.112307098765432"/>
  </r>
  <r>
    <x v="46"/>
    <x v="1"/>
    <x v="2"/>
    <x v="19"/>
    <x v="2"/>
    <d v="1899-12-30T00:59:17"/>
    <d v="1899-12-30T08:55:32"/>
    <d v="1899-12-30T18:01:11"/>
    <d v="1899-12-30T09:05:39"/>
    <d v="1899-12-30T07:12:00"/>
    <d v="1899-12-30T01:53:39"/>
    <m/>
    <n v="0.10864717920522922"/>
    <n v="1.2630787037037039"/>
  </r>
  <r>
    <x v="46"/>
    <x v="1"/>
    <x v="2"/>
    <x v="11"/>
    <x v="4"/>
    <d v="1899-12-30T00:46:49"/>
    <d v="1899-12-30T08:25:18"/>
    <d v="1899-12-30T16:37:34"/>
    <d v="1899-12-30T08:12:16"/>
    <d v="1899-12-30T07:12:00"/>
    <d v="1899-12-30T01:00:16"/>
    <m/>
    <n v="9.5104279523293617E-2"/>
    <n v="1.1395061728395062"/>
  </r>
  <r>
    <x v="46"/>
    <x v="1"/>
    <x v="2"/>
    <x v="13"/>
    <x v="0"/>
    <d v="1899-12-30T00:59:34"/>
    <d v="1899-12-30T08:00:00"/>
    <d v="1899-12-30T17:12:14"/>
    <d v="1899-12-30T09:12:14"/>
    <d v="1899-12-30T07:12:00"/>
    <d v="1899-12-30T02:00:14"/>
    <m/>
    <n v="0.1078650328967224"/>
    <n v="1.2783179012345678"/>
  </r>
  <r>
    <x v="46"/>
    <x v="1"/>
    <x v="2"/>
    <x v="14"/>
    <x v="0"/>
    <d v="1899-12-30T01:04:45"/>
    <d v="1899-12-30T11:08:25"/>
    <d v="1899-12-30T18:01:48"/>
    <d v="1899-12-30T06:53:23"/>
    <d v="1899-12-30T07:12:00"/>
    <m/>
    <d v="1899-12-30T00:18:37"/>
    <n v="0.15663427811151878"/>
    <n v="0.95690586419753076"/>
  </r>
  <r>
    <x v="46"/>
    <x v="1"/>
    <x v="2"/>
    <x v="15"/>
    <x v="0"/>
    <d v="1899-12-30T01:09:22"/>
    <d v="1899-12-30T09:42:00"/>
    <d v="1899-12-30T18:00:58"/>
    <d v="1899-12-30T08:18:58"/>
    <d v="1899-12-30T07:12:00"/>
    <d v="1899-12-30T01:06:58"/>
    <m/>
    <n v="0.13902064266150047"/>
    <n v="1.1550154320987653"/>
  </r>
  <r>
    <x v="46"/>
    <x v="1"/>
    <x v="2"/>
    <x v="17"/>
    <x v="2"/>
    <d v="1899-12-30T01:11:43"/>
    <d v="1899-12-30T10:46:25"/>
    <d v="1899-12-30T19:00:12"/>
    <d v="1899-12-30T08:13:47"/>
    <d v="1899-12-30T07:12:00"/>
    <d v="1899-12-30T01:01:47"/>
    <m/>
    <n v="0.14523913997367266"/>
    <n v="1.1430169753086419"/>
  </r>
  <r>
    <x v="46"/>
    <x v="1"/>
    <x v="2"/>
    <x v="18"/>
    <x v="2"/>
    <d v="1899-12-30T00:50:03"/>
    <d v="1899-12-30T08:17:27"/>
    <d v="1899-12-30T15:23:05"/>
    <d v="1899-12-30T07:05:38"/>
    <d v="1899-12-30T07:12:00"/>
    <m/>
    <d v="1899-12-30T00:06:22"/>
    <n v="0.11758947450857546"/>
    <n v="0.98526234567901239"/>
  </r>
  <r>
    <x v="47"/>
    <x v="1"/>
    <x v="2"/>
    <x v="0"/>
    <x v="0"/>
    <d v="1899-12-30T01:22:53"/>
    <d v="1899-12-30T08:00:25"/>
    <d v="1899-12-30T15:12:52"/>
    <d v="1899-12-30T07:12:27"/>
    <d v="1899-12-30T07:12:00"/>
    <d v="1899-12-30T00:00:27"/>
    <m/>
    <n v="0.19165992214899599"/>
    <n v="1.0010416666666668"/>
  </r>
  <r>
    <x v="47"/>
    <x v="1"/>
    <x v="2"/>
    <x v="1"/>
    <x v="3"/>
    <d v="1899-12-30T00:59:34"/>
    <d v="1899-12-30T12:26:11"/>
    <d v="1899-12-30T18:00:29"/>
    <d v="1899-12-30T05:34:18"/>
    <d v="1899-12-30T06:00:00"/>
    <m/>
    <d v="1899-12-30T00:25:42"/>
    <n v="0.17818326852128827"/>
    <n v="0.92861111111111105"/>
  </r>
  <r>
    <x v="47"/>
    <x v="1"/>
    <x v="2"/>
    <x v="2"/>
    <x v="2"/>
    <d v="1899-12-30T00:24:19"/>
    <d v="1899-12-30T13:08:01"/>
    <d v="1899-12-30T19:23:30"/>
    <d v="1899-12-30T06:15:29"/>
    <d v="1899-12-30T06:00:00"/>
    <d v="1899-12-30T00:15:29"/>
    <m/>
    <n v="6.4760974743663741E-2"/>
    <n v="1.043009259259259"/>
  </r>
  <r>
    <x v="47"/>
    <x v="1"/>
    <x v="2"/>
    <x v="5"/>
    <x v="0"/>
    <d v="1899-12-30T01:15:21"/>
    <d v="1899-12-30T08:03:21"/>
    <d v="1899-12-30T15:12:30"/>
    <d v="1899-12-30T07:09:09"/>
    <d v="1899-12-30T07:12:00"/>
    <m/>
    <d v="1899-12-30T00:02:51"/>
    <n v="0.17557963416054992"/>
    <n v="0.99340277777777786"/>
  </r>
  <r>
    <x v="47"/>
    <x v="1"/>
    <x v="2"/>
    <x v="6"/>
    <x v="3"/>
    <d v="1899-12-30T01:09:09"/>
    <d v="1899-12-30T08:00:00"/>
    <d v="1899-12-30T18:00:16"/>
    <d v="1899-12-30T10:00:16"/>
    <d v="1899-12-30T07:12:00"/>
    <d v="1899-12-30T02:48:16"/>
    <m/>
    <n v="0.11519880053309639"/>
    <n v="1.3895061728395062"/>
  </r>
  <r>
    <x v="47"/>
    <x v="1"/>
    <x v="2"/>
    <x v="7"/>
    <x v="0"/>
    <d v="1899-12-30T01:01:40"/>
    <d v="1899-12-30T08:00:00"/>
    <d v="1899-12-30T16:00:24"/>
    <d v="1899-12-30T08:00:24"/>
    <d v="1899-12-30T07:12:00"/>
    <d v="1899-12-30T00:48:24"/>
    <m/>
    <n v="0.12836525117957256"/>
    <n v="1.1120370370370372"/>
  </r>
  <r>
    <x v="47"/>
    <x v="1"/>
    <x v="2"/>
    <x v="19"/>
    <x v="2"/>
    <d v="1899-12-30T00:49:03"/>
    <d v="1899-12-30T09:37:06"/>
    <d v="1899-12-30T18:13:44"/>
    <d v="1899-12-30T08:36:38"/>
    <d v="1899-12-30T07:12:00"/>
    <d v="1899-12-30T01:24:38"/>
    <m/>
    <n v="9.4941609136073302E-2"/>
    <n v="1.1959104938271605"/>
  </r>
  <r>
    <x v="47"/>
    <x v="1"/>
    <x v="2"/>
    <x v="11"/>
    <x v="4"/>
    <d v="1899-12-30T01:06:50"/>
    <d v="1899-12-30T08:00:11"/>
    <d v="1899-12-30T15:15:40"/>
    <d v="1899-12-30T07:15:29"/>
    <d v="1899-12-30T07:12:00"/>
    <d v="1899-12-30T00:03:29"/>
    <m/>
    <n v="0.15346932527077192"/>
    <n v="1.0080632716049385"/>
  </r>
  <r>
    <x v="47"/>
    <x v="1"/>
    <x v="2"/>
    <x v="13"/>
    <x v="0"/>
    <d v="1899-12-30T01:05:53"/>
    <d v="1899-12-30T08:00:23"/>
    <d v="1899-12-30T15:13:08"/>
    <d v="1899-12-30T07:12:45"/>
    <d v="1899-12-30T07:12:00"/>
    <d v="1899-12-30T00:00:45"/>
    <m/>
    <n v="0.15224340458309263"/>
    <n v="1.0017361111111112"/>
  </r>
  <r>
    <x v="47"/>
    <x v="1"/>
    <x v="2"/>
    <x v="14"/>
    <x v="0"/>
    <d v="1899-12-30T01:05:34"/>
    <d v="1899-12-30T10:09:30"/>
    <d v="1899-12-30T18:00:31"/>
    <d v="1899-12-30T07:51:01"/>
    <d v="1899-12-30T07:12:00"/>
    <d v="1899-12-30T00:39:01"/>
    <m/>
    <n v="0.13920243445030253"/>
    <n v="1.0903163580246915"/>
  </r>
  <r>
    <x v="47"/>
    <x v="1"/>
    <x v="2"/>
    <x v="15"/>
    <x v="0"/>
    <d v="1899-12-30T01:01:41"/>
    <d v="1899-12-30T09:45:28"/>
    <d v="1899-12-30T18:00:36"/>
    <d v="1899-12-30T08:15:08"/>
    <d v="1899-12-30T07:12:00"/>
    <d v="1899-12-30T01:03:08"/>
    <m/>
    <n v="0.12457923791571297"/>
    <n v="1.1461419753086419"/>
  </r>
  <r>
    <x v="47"/>
    <x v="1"/>
    <x v="2"/>
    <x v="17"/>
    <x v="2"/>
    <d v="1899-12-30T00:42:41"/>
    <d v="1899-12-30T12:07:37"/>
    <d v="1899-12-30T19:01:17"/>
    <d v="1899-12-30T06:53:40"/>
    <d v="1899-12-30T07:12:00"/>
    <m/>
    <d v="1899-12-30T00:18:20"/>
    <n v="0.1031829170024174"/>
    <n v="0.95756172839506182"/>
  </r>
  <r>
    <x v="47"/>
    <x v="1"/>
    <x v="2"/>
    <x v="18"/>
    <x v="2"/>
    <d v="1899-12-30T00:55:04"/>
    <d v="1899-12-30T08:00:07"/>
    <d v="1899-12-30T17:19:55"/>
    <d v="1899-12-30T09:19:48"/>
    <d v="1899-12-30T07:12:00"/>
    <d v="1899-12-30T02:07:48"/>
    <m/>
    <n v="9.8368464927950455E-2"/>
    <n v="1.2958333333333336"/>
  </r>
  <r>
    <x v="48"/>
    <x v="1"/>
    <x v="2"/>
    <x v="0"/>
    <x v="0"/>
    <d v="1899-12-30T01:22:25"/>
    <d v="1899-12-30T08:01:54"/>
    <d v="1899-12-30T17:14:21"/>
    <d v="1899-12-30T09:12:27"/>
    <d v="1899-12-30T07:12:00"/>
    <d v="1899-12-30T02:00:27"/>
    <m/>
    <n v="0.14918393821461973"/>
    <n v="1.2788194444444445"/>
  </r>
  <r>
    <x v="48"/>
    <x v="1"/>
    <x v="2"/>
    <x v="1"/>
    <x v="3"/>
    <d v="1899-12-30T00:54:47"/>
    <d v="1899-12-30T12:05:59"/>
    <d v="1899-12-30T18:00:22"/>
    <d v="1899-12-30T05:54:23"/>
    <d v="1899-12-30T06:00:00"/>
    <m/>
    <d v="1899-12-30T00:05:37"/>
    <n v="0.15458778159243758"/>
    <n v="0.98439814814814808"/>
  </r>
  <r>
    <x v="48"/>
    <x v="1"/>
    <x v="2"/>
    <x v="2"/>
    <x v="2"/>
    <d v="1899-12-30T01:02:36"/>
    <d v="1899-12-30T13:04:57"/>
    <d v="1899-12-30T19:05:06"/>
    <d v="1899-12-30T06:00:09"/>
    <d v="1899-12-30T06:00:00"/>
    <d v="1899-12-30T00:00:09"/>
    <m/>
    <n v="0.17381646536165488"/>
    <n v="1.0004166666666667"/>
  </r>
  <r>
    <x v="48"/>
    <x v="1"/>
    <x v="2"/>
    <x v="5"/>
    <x v="0"/>
    <d v="1899-12-30T01:11:19"/>
    <d v="1899-12-30T08:01:12"/>
    <d v="1899-12-30T17:13:19"/>
    <d v="1899-12-30T09:12:07"/>
    <d v="1899-12-30T07:12:00"/>
    <d v="1899-12-30T02:00:07"/>
    <m/>
    <n v="0.12916955957376158"/>
    <n v="1.278047839506173"/>
  </r>
  <r>
    <x v="48"/>
    <x v="1"/>
    <x v="2"/>
    <x v="6"/>
    <x v="3"/>
    <d v="1899-12-30T00:46:21"/>
    <d v="1899-12-30T08:16:17"/>
    <d v="1899-12-30T16:31:55"/>
    <d v="1899-12-30T08:15:38"/>
    <d v="1899-12-30T07:12:00"/>
    <d v="1899-12-30T01:03:38"/>
    <m/>
    <n v="9.3516712623579273E-2"/>
    <n v="1.1472993827160491"/>
  </r>
  <r>
    <x v="48"/>
    <x v="1"/>
    <x v="2"/>
    <x v="7"/>
    <x v="0"/>
    <d v="1899-12-30T00:46:45"/>
    <d v="1899-12-30T08:00:08"/>
    <d v="1899-12-30T16:00:21"/>
    <d v="1899-12-30T08:00:13"/>
    <d v="1899-12-30T07:12:00"/>
    <d v="1899-12-30T00:48:13"/>
    <m/>
    <n v="9.7351889771977923E-2"/>
    <n v="1.1116126543209879"/>
  </r>
  <r>
    <x v="48"/>
    <x v="1"/>
    <x v="2"/>
    <x v="19"/>
    <x v="2"/>
    <d v="1899-12-30T00:46:08"/>
    <d v="1899-12-30T10:37:40"/>
    <d v="1899-12-30T18:01:01"/>
    <d v="1899-12-30T07:23:21"/>
    <d v="1899-12-30T07:12:00"/>
    <d v="1899-12-30T00:11:21"/>
    <m/>
    <n v="0.10405623848727494"/>
    <n v="1.026273148148148"/>
  </r>
  <r>
    <x v="48"/>
    <x v="1"/>
    <x v="2"/>
    <x v="11"/>
    <x v="4"/>
    <d v="1899-12-30T01:00:52"/>
    <d v="1899-12-30T08:00:08"/>
    <d v="1899-12-30T17:15:40"/>
    <d v="1899-12-30T09:15:32"/>
    <d v="1899-12-30T07:12:00"/>
    <d v="1899-12-30T02:03:32"/>
    <m/>
    <n v="0.10956438257530299"/>
    <n v="1.285956790123457"/>
  </r>
  <r>
    <x v="48"/>
    <x v="1"/>
    <x v="2"/>
    <x v="13"/>
    <x v="0"/>
    <d v="1899-12-30T00:59:41"/>
    <d v="1899-12-30T08:00:44"/>
    <d v="1899-12-30T16:21:59"/>
    <d v="1899-12-30T08:21:15"/>
    <d v="1899-12-30T07:12:00"/>
    <d v="1899-12-30T01:09:15"/>
    <m/>
    <n v="0.11906899418121361"/>
    <n v="1.1603009259259263"/>
  </r>
  <r>
    <x v="48"/>
    <x v="1"/>
    <x v="2"/>
    <x v="14"/>
    <x v="0"/>
    <d v="1899-12-30T01:03:59"/>
    <d v="1899-12-30T10:39:55"/>
    <d v="1899-12-30T18:00:46"/>
    <d v="1899-12-30T07:20:51"/>
    <d v="1899-12-30T07:12:00"/>
    <d v="1899-12-30T00:08:51"/>
    <m/>
    <n v="0.1451362897432989"/>
    <n v="1.0204861111111114"/>
  </r>
  <r>
    <x v="48"/>
    <x v="1"/>
    <x v="2"/>
    <x v="15"/>
    <x v="0"/>
    <d v="1899-12-30T01:06:24"/>
    <d v="1899-12-30T09:42:07"/>
    <d v="1899-12-30T18:00:54"/>
    <d v="1899-12-30T08:18:47"/>
    <d v="1899-12-30T07:12:00"/>
    <d v="1899-12-30T01:06:47"/>
    <m/>
    <n v="0.13312393490827681"/>
    <n v="1.1545910493827161"/>
  </r>
  <r>
    <x v="48"/>
    <x v="1"/>
    <x v="2"/>
    <x v="17"/>
    <x v="2"/>
    <d v="1899-12-30T01:44:22"/>
    <d v="1899-12-30T09:10:10"/>
    <d v="1899-12-30T18:12:06"/>
    <d v="1899-12-30T09:01:56"/>
    <d v="1899-12-30T07:12:00"/>
    <d v="1899-12-30T01:49:56"/>
    <m/>
    <n v="0.192582113421085"/>
    <n v="1.2544753086419753"/>
  </r>
  <r>
    <x v="48"/>
    <x v="1"/>
    <x v="2"/>
    <x v="18"/>
    <x v="2"/>
    <d v="1899-12-30T00:37:51"/>
    <d v="1899-12-30T08:13:28"/>
    <d v="1899-12-30T17:14:26"/>
    <d v="1899-12-30T09:00:58"/>
    <d v="1899-12-30T07:12:00"/>
    <d v="1899-12-30T01:48:58"/>
    <m/>
    <n v="6.9967342411732095E-2"/>
    <n v="1.2522376543209877"/>
  </r>
  <r>
    <x v="49"/>
    <x v="1"/>
    <x v="2"/>
    <x v="0"/>
    <x v="0"/>
    <d v="1899-12-30T00:59:23"/>
    <d v="1899-12-30T08:00:40"/>
    <d v="1899-12-30T15:13:25"/>
    <d v="1899-12-30T07:12:45"/>
    <d v="1899-12-30T07:12:00"/>
    <d v="1899-12-30T00:00:45"/>
    <m/>
    <n v="0.13722318505680728"/>
    <n v="1.0017361111111109"/>
  </r>
  <r>
    <x v="49"/>
    <x v="1"/>
    <x v="2"/>
    <x v="1"/>
    <x v="3"/>
    <d v="1899-12-30T01:04:11"/>
    <d v="1899-12-30T12:10:39"/>
    <d v="1899-12-30T18:00:38"/>
    <d v="1899-12-30T05:49:59"/>
    <d v="1899-12-30T06:00:00"/>
    <m/>
    <d v="1899-12-30T00:10:01"/>
    <n v="0.18338968522310592"/>
    <n v="0.97217592592592572"/>
  </r>
  <r>
    <x v="49"/>
    <x v="1"/>
    <x v="2"/>
    <x v="2"/>
    <x v="2"/>
    <d v="1899-12-30T01:45:04"/>
    <d v="1899-12-30T11:48:15"/>
    <d v="1899-12-30T19:00:50"/>
    <d v="1899-12-30T07:12:35"/>
    <d v="1899-12-30T06:00:00"/>
    <d v="1899-12-30T01:12:35"/>
    <m/>
    <n v="0.24288191099980738"/>
    <n v="1.2016203703703703"/>
  </r>
  <r>
    <x v="49"/>
    <x v="1"/>
    <x v="2"/>
    <x v="5"/>
    <x v="0"/>
    <d v="1899-12-30T00:53:06"/>
    <d v="1899-12-30T08:55:53"/>
    <d v="1899-12-30T15:12:58"/>
    <d v="1899-12-30T06:17:05"/>
    <d v="1899-12-30T07:12:00"/>
    <m/>
    <d v="1899-12-30T00:54:55"/>
    <n v="0.140817679558011"/>
    <n v="0.87287808641975329"/>
  </r>
  <r>
    <x v="49"/>
    <x v="1"/>
    <x v="2"/>
    <x v="6"/>
    <x v="3"/>
    <d v="1899-12-30T00:54:37"/>
    <d v="1899-12-30T08:00:00"/>
    <d v="1899-12-30T16:17:35"/>
    <d v="1899-12-30T08:17:35"/>
    <d v="1899-12-30T07:12:00"/>
    <d v="1899-12-30T01:05:35"/>
    <m/>
    <n v="0.10976385865014235"/>
    <n v="1.1518132716049385"/>
  </r>
  <r>
    <x v="49"/>
    <x v="1"/>
    <x v="2"/>
    <x v="7"/>
    <x v="0"/>
    <d v="1899-12-30T00:47:54"/>
    <d v="1899-12-30T08:00:29"/>
    <d v="1899-12-30T16:00:47"/>
    <d v="1899-12-30T08:00:18"/>
    <d v="1899-12-30T07:12:00"/>
    <d v="1899-12-30T00:48:18"/>
    <m/>
    <n v="9.9729335831771834E-2"/>
    <n v="1.1118055555555555"/>
  </r>
  <r>
    <x v="49"/>
    <x v="1"/>
    <x v="2"/>
    <x v="19"/>
    <x v="2"/>
    <d v="1899-12-30T00:51:18"/>
    <d v="1899-12-30T10:29:11"/>
    <d v="1899-12-30T18:00:31"/>
    <d v="1899-12-30T07:31:20"/>
    <d v="1899-12-30T07:12:00"/>
    <d v="1899-12-30T00:19:20"/>
    <m/>
    <n v="0.11366322008862628"/>
    <n v="1.0447530864197532"/>
  </r>
  <r>
    <x v="49"/>
    <x v="1"/>
    <x v="2"/>
    <x v="11"/>
    <x v="4"/>
    <d v="1899-12-30T00:51:54"/>
    <d v="1899-12-30T08:04:28"/>
    <d v="1899-12-30T15:15:00"/>
    <d v="1899-12-30T07:10:32"/>
    <d v="1899-12-30T07:12:00"/>
    <m/>
    <d v="1899-12-30T00:01:28"/>
    <n v="0.12054815732424901"/>
    <n v="0.9966049382716049"/>
  </r>
  <r>
    <x v="49"/>
    <x v="1"/>
    <x v="2"/>
    <x v="13"/>
    <x v="0"/>
    <d v="1899-12-30T00:54:19"/>
    <d v="1899-12-30T08:00:52"/>
    <d v="1899-12-30T15:12:27"/>
    <d v="1899-12-30T07:11:35"/>
    <d v="1899-12-30T07:12:00"/>
    <m/>
    <d v="1899-12-30T00:00:25"/>
    <n v="0.12585441204865805"/>
    <n v="0.99903549382716061"/>
  </r>
  <r>
    <x v="49"/>
    <x v="1"/>
    <x v="2"/>
    <x v="14"/>
    <x v="0"/>
    <d v="1899-12-30T01:13:39"/>
    <d v="1899-12-30T09:25:03"/>
    <d v="1899-12-30T18:00:34"/>
    <d v="1899-12-30T08:35:31"/>
    <d v="1899-12-30T07:12:00"/>
    <d v="1899-12-30T01:23:31"/>
    <m/>
    <n v="0.1428663800071126"/>
    <n v="1.1933256172839508"/>
  </r>
  <r>
    <x v="49"/>
    <x v="1"/>
    <x v="2"/>
    <x v="15"/>
    <x v="0"/>
    <d v="1899-12-30T01:07:56"/>
    <d v="1899-12-30T09:36:54"/>
    <d v="1899-12-30T18:05:00"/>
    <d v="1899-12-30T08:28:06"/>
    <d v="1899-12-30T07:12:00"/>
    <d v="1899-12-30T01:16:06"/>
    <m/>
    <n v="0.13370071508233289"/>
    <n v="1.1761574074074075"/>
  </r>
  <r>
    <x v="49"/>
    <x v="1"/>
    <x v="2"/>
    <x v="17"/>
    <x v="2"/>
    <d v="1899-12-30T01:17:47"/>
    <d v="1899-12-30T09:28:24"/>
    <d v="1899-12-30T18:15:24"/>
    <d v="1899-12-30T08:47:00"/>
    <d v="1899-12-30T07:12:00"/>
    <d v="1899-12-30T01:35:00"/>
    <m/>
    <n v="0.1475964579380139"/>
    <n v="1.2199074074074077"/>
  </r>
  <r>
    <x v="49"/>
    <x v="1"/>
    <x v="2"/>
    <x v="18"/>
    <x v="2"/>
    <d v="1899-12-30T00:47:09"/>
    <d v="1899-12-30T08:01:16"/>
    <d v="1899-12-30T16:35:33"/>
    <d v="1899-12-30T08:34:17"/>
    <d v="1899-12-30T07:12:00"/>
    <d v="1899-12-30T01:22:17"/>
    <m/>
    <n v="9.1680980004537047E-2"/>
    <n v="1.1904706790123458"/>
  </r>
  <r>
    <x v="50"/>
    <x v="1"/>
    <x v="2"/>
    <x v="0"/>
    <x v="0"/>
    <d v="1899-12-30T01:13:50"/>
    <d v="1899-12-30T08:02:27"/>
    <d v="1899-12-30T17:12:29"/>
    <d v="1899-12-30T09:10:02"/>
    <d v="1899-12-30T07:12:00"/>
    <d v="1899-12-30T01:58:02"/>
    <m/>
    <n v="0.13423428883097996"/>
    <n v="1.2732253086419751"/>
  </r>
  <r>
    <x v="50"/>
    <x v="1"/>
    <x v="2"/>
    <x v="2"/>
    <x v="2"/>
    <d v="1899-12-30T00:56:11"/>
    <d v="1899-12-30T10:54:01"/>
    <d v="1899-12-30T18:51:51"/>
    <d v="1899-12-30T07:57:50"/>
    <d v="1899-12-30T06:00:00"/>
    <d v="1899-12-30T01:57:50"/>
    <m/>
    <n v="0.11757935123822813"/>
    <n v="1.3273148148148146"/>
  </r>
  <r>
    <x v="50"/>
    <x v="1"/>
    <x v="2"/>
    <x v="5"/>
    <x v="0"/>
    <d v="1899-12-30T01:11:51"/>
    <d v="1899-12-30T08:13:40"/>
    <d v="1899-12-30T17:12:48"/>
    <d v="1899-12-30T08:59:08"/>
    <d v="1899-12-30T07:12:00"/>
    <d v="1899-12-30T01:47:08"/>
    <m/>
    <n v="0.13326944478793126"/>
    <n v="1.2479938271604938"/>
  </r>
  <r>
    <x v="50"/>
    <x v="1"/>
    <x v="2"/>
    <x v="6"/>
    <x v="3"/>
    <d v="1899-12-30T00:46:59"/>
    <d v="1899-12-30T08:00:57"/>
    <d v="1899-12-30T15:17:11"/>
    <d v="1899-12-30T07:16:14"/>
    <d v="1899-12-30T07:12:00"/>
    <d v="1899-12-30T00:04:14"/>
    <m/>
    <n v="0.10770229999235882"/>
    <n v="1.0097993827160496"/>
  </r>
  <r>
    <x v="50"/>
    <x v="1"/>
    <x v="2"/>
    <x v="7"/>
    <x v="0"/>
    <d v="1899-12-30T00:53:59"/>
    <d v="1899-12-30T08:00:00"/>
    <d v="1899-12-30T15:12:54"/>
    <d v="1899-12-30T07:12:54"/>
    <d v="1899-12-30T07:12:00"/>
    <d v="1899-12-30T00:00:54"/>
    <m/>
    <n v="0.12470162470162471"/>
    <n v="1.0020833333333332"/>
  </r>
  <r>
    <x v="50"/>
    <x v="1"/>
    <x v="2"/>
    <x v="19"/>
    <x v="2"/>
    <d v="1899-12-30T00:54:15"/>
    <d v="1899-12-30T09:44:46"/>
    <d v="1899-12-30T17:06:34"/>
    <d v="1899-12-30T07:21:48"/>
    <d v="1899-12-30T07:12:00"/>
    <d v="1899-12-30T00:09:48"/>
    <m/>
    <n v="0.12279311905839743"/>
    <n v="1.0226851851851855"/>
  </r>
  <r>
    <x v="50"/>
    <x v="1"/>
    <x v="2"/>
    <x v="11"/>
    <x v="4"/>
    <d v="1899-12-30T01:01:25"/>
    <d v="1899-12-30T08:02:31"/>
    <d v="1899-12-30T15:13:22"/>
    <d v="1899-12-30T07:10:51"/>
    <d v="1899-12-30T07:12:00"/>
    <m/>
    <d v="1899-12-30T00:01:09"/>
    <n v="0.14254767707245369"/>
    <n v="0.99733796296296295"/>
  </r>
  <r>
    <x v="50"/>
    <x v="1"/>
    <x v="2"/>
    <x v="13"/>
    <x v="0"/>
    <d v="1899-12-30T00:37:16"/>
    <d v="1899-12-30T08:01:20"/>
    <d v="1899-12-30T11:56:36"/>
    <d v="1899-12-30T03:55:16"/>
    <d v="1899-12-30T07:12:00"/>
    <m/>
    <d v="1899-12-30T03:16:44"/>
    <n v="0.15840181354491356"/>
    <n v="0.54459876543209884"/>
  </r>
  <r>
    <x v="50"/>
    <x v="1"/>
    <x v="2"/>
    <x v="14"/>
    <x v="0"/>
    <d v="1899-12-30T01:07:27"/>
    <d v="1899-12-30T08:00:37"/>
    <d v="1899-12-30T15:28:18"/>
    <d v="1899-12-30T07:27:41"/>
    <d v="1899-12-30T07:12:00"/>
    <d v="1899-12-30T00:15:41"/>
    <m/>
    <n v="0.1506645322214363"/>
    <n v="1.0363040123456788"/>
  </r>
  <r>
    <x v="50"/>
    <x v="1"/>
    <x v="2"/>
    <x v="15"/>
    <x v="0"/>
    <d v="1899-12-30T01:10:21"/>
    <d v="1899-12-30T10:17:17"/>
    <d v="1899-12-30T18:00:32"/>
    <d v="1899-12-30T07:43:15"/>
    <d v="1899-12-30T07:12:00"/>
    <d v="1899-12-30T00:31:15"/>
    <m/>
    <n v="0.15186184565569347"/>
    <n v="1.072337962962963"/>
  </r>
  <r>
    <x v="50"/>
    <x v="1"/>
    <x v="2"/>
    <x v="17"/>
    <x v="2"/>
    <d v="1899-12-30T01:00:44"/>
    <d v="1899-12-30T08:41:47"/>
    <d v="1899-12-30T15:55:33"/>
    <d v="1899-12-30T07:13:46"/>
    <d v="1899-12-30T07:12:00"/>
    <d v="1899-12-30T00:01:46"/>
    <m/>
    <n v="0.14001383232152462"/>
    <n v="1.0040895061728397"/>
  </r>
  <r>
    <x v="50"/>
    <x v="1"/>
    <x v="2"/>
    <x v="18"/>
    <x v="2"/>
    <d v="1899-12-30T00:44:13"/>
    <d v="1899-12-30T08:00:05"/>
    <d v="1899-12-30T11:52:50"/>
    <d v="1899-12-30T03:52:45"/>
    <d v="1899-12-30T07:12:00"/>
    <m/>
    <d v="1899-12-30T03:19:15"/>
    <n v="0.18997493734335844"/>
    <n v="0.53877314814814803"/>
  </r>
  <r>
    <x v="51"/>
    <x v="1"/>
    <x v="2"/>
    <x v="0"/>
    <x v="0"/>
    <d v="1899-12-30T00:58:44"/>
    <d v="1899-12-30T08:00:29"/>
    <d v="1899-12-30T15:12:39"/>
    <d v="1899-12-30T07:12:10"/>
    <d v="1899-12-30T07:12:00"/>
    <d v="1899-12-30T00:00:10"/>
    <m/>
    <n v="0.13590435788661781"/>
    <n v="1.0003858024691359"/>
  </r>
  <r>
    <x v="51"/>
    <x v="1"/>
    <x v="2"/>
    <x v="1"/>
    <x v="3"/>
    <d v="1899-12-30T01:08:23"/>
    <d v="1899-12-30T12:04:37"/>
    <d v="1899-12-30T18:00:53"/>
    <d v="1899-12-30T05:56:16"/>
    <d v="1899-12-30T06:00:00"/>
    <m/>
    <d v="1899-12-30T00:03:44"/>
    <n v="0.19194423652694612"/>
    <n v="0.98962962962962964"/>
  </r>
  <r>
    <x v="51"/>
    <x v="1"/>
    <x v="2"/>
    <x v="2"/>
    <x v="2"/>
    <d v="1899-12-30T00:44:20"/>
    <d v="1899-12-30T10:11:00"/>
    <d v="1899-12-30T16:45:20"/>
    <d v="1899-12-30T06:34:20"/>
    <d v="1899-12-30T06:00:00"/>
    <d v="1899-12-30T00:34:20"/>
    <m/>
    <n v="0.11242603550295856"/>
    <n v="1.0953703703703705"/>
  </r>
  <r>
    <x v="51"/>
    <x v="1"/>
    <x v="2"/>
    <x v="5"/>
    <x v="0"/>
    <d v="1899-12-30T01:00:51"/>
    <d v="1899-12-30T08:10:46"/>
    <d v="1899-12-30T15:13:31"/>
    <d v="1899-12-30T07:02:45"/>
    <d v="1899-12-30T07:12:00"/>
    <m/>
    <d v="1899-12-30T00:09:15"/>
    <n v="0.14393849793021882"/>
    <n v="0.97858796296296291"/>
  </r>
  <r>
    <x v="51"/>
    <x v="1"/>
    <x v="2"/>
    <x v="6"/>
    <x v="3"/>
    <d v="1899-12-30T00:58:56"/>
    <d v="1899-12-30T08:10:33"/>
    <d v="1899-12-30T15:13:14"/>
    <d v="1899-12-30T07:02:41"/>
    <d v="1899-12-30T07:12:00"/>
    <m/>
    <d v="1899-12-30T00:09:19"/>
    <n v="0.13942667875872403"/>
    <n v="0.97843364197530869"/>
  </r>
  <r>
    <x v="51"/>
    <x v="1"/>
    <x v="2"/>
    <x v="7"/>
    <x v="0"/>
    <d v="1899-12-30T00:50:53"/>
    <d v="1899-12-30T08:00:11"/>
    <d v="1899-12-30T15:13:52"/>
    <d v="1899-12-30T07:13:41"/>
    <d v="1899-12-30T07:12:00"/>
    <d v="1899-12-30T00:01:41"/>
    <m/>
    <n v="0.11732831174820336"/>
    <n v="1.0038966049382718"/>
  </r>
  <r>
    <x v="51"/>
    <x v="1"/>
    <x v="2"/>
    <x v="19"/>
    <x v="2"/>
    <d v="1899-12-30T00:40:09"/>
    <d v="1899-12-30T10:54:47"/>
    <d v="1899-12-30T18:01:37"/>
    <d v="1899-12-30T07:06:50"/>
    <d v="1899-12-30T07:12:00"/>
    <m/>
    <d v="1899-12-30T00:05:10"/>
    <n v="9.4064818430300665E-2"/>
    <n v="0.98804012345679026"/>
  </r>
  <r>
    <x v="51"/>
    <x v="1"/>
    <x v="2"/>
    <x v="11"/>
    <x v="4"/>
    <d v="1899-12-30T00:52:52"/>
    <d v="1899-12-30T08:00:00"/>
    <d v="1899-12-30T15:17:06"/>
    <d v="1899-12-30T07:17:06"/>
    <d v="1899-12-30T07:12:00"/>
    <d v="1899-12-30T00:05:06"/>
    <m/>
    <n v="0.12094867688553344"/>
    <n v="1.0118055555555556"/>
  </r>
  <r>
    <x v="51"/>
    <x v="1"/>
    <x v="2"/>
    <x v="13"/>
    <x v="0"/>
    <d v="1899-12-30T00:49:00"/>
    <d v="1899-12-30T08:00:31"/>
    <d v="1899-12-30T15:12:39"/>
    <d v="1899-12-30T07:12:08"/>
    <d v="1899-12-30T07:12:00"/>
    <d v="1899-12-30T00:00:08"/>
    <m/>
    <n v="0.11339092872570192"/>
    <n v="1.0003086419753089"/>
  </r>
  <r>
    <x v="51"/>
    <x v="1"/>
    <x v="2"/>
    <x v="14"/>
    <x v="0"/>
    <d v="1899-12-30T01:16:00"/>
    <d v="1899-12-30T10:37:41"/>
    <d v="1899-12-30T18:02:21"/>
    <d v="1899-12-30T07:24:40"/>
    <d v="1899-12-30T07:12:00"/>
    <d v="1899-12-30T00:12:40"/>
    <m/>
    <n v="0.17091454272863565"/>
    <n v="1.0293209876543212"/>
  </r>
  <r>
    <x v="51"/>
    <x v="1"/>
    <x v="2"/>
    <x v="17"/>
    <x v="2"/>
    <d v="1899-12-30T00:51:09"/>
    <d v="1899-12-30T11:24:35"/>
    <d v="1899-12-30T18:34:14"/>
    <d v="1899-12-30T07:09:39"/>
    <d v="1899-12-30T07:12:00"/>
    <m/>
    <d v="1899-12-30T00:02:21"/>
    <n v="0.11905038985220531"/>
    <n v="0.99456018518518507"/>
  </r>
  <r>
    <x v="51"/>
    <x v="1"/>
    <x v="2"/>
    <x v="18"/>
    <x v="2"/>
    <d v="1899-12-30T01:06:13"/>
    <d v="1899-12-30T08:29:09"/>
    <d v="1899-12-30T15:25:42"/>
    <d v="1899-12-30T06:56:33"/>
    <d v="1899-12-30T07:12:00"/>
    <m/>
    <d v="1899-12-30T00:15:27"/>
    <n v="0.15896451006281756"/>
    <n v="0.96423611111111129"/>
  </r>
  <r>
    <x v="52"/>
    <x v="1"/>
    <x v="2"/>
    <x v="0"/>
    <x v="0"/>
    <d v="1899-12-30T01:07:06"/>
    <d v="1899-12-30T08:02:42"/>
    <d v="1899-12-30T15:13:31"/>
    <d v="1899-12-30T07:10:49"/>
    <d v="1899-12-30T07:12:00"/>
    <m/>
    <d v="1899-12-30T00:01:11"/>
    <n v="0.15575070602344385"/>
    <n v="0.99726080246913584"/>
  </r>
  <r>
    <x v="52"/>
    <x v="1"/>
    <x v="2"/>
    <x v="1"/>
    <x v="3"/>
    <d v="1899-12-30T00:50:51"/>
    <d v="1899-12-30T13:07:12"/>
    <d v="1899-12-30T18:00:21"/>
    <d v="1899-12-30T04:53:09"/>
    <d v="1899-12-30T06:00:00"/>
    <m/>
    <d v="1899-12-30T01:06:51"/>
    <n v="0.17346068565580752"/>
    <n v="0.81430555555555584"/>
  </r>
  <r>
    <x v="52"/>
    <x v="1"/>
    <x v="2"/>
    <x v="2"/>
    <x v="2"/>
    <d v="1899-12-30T00:53:34"/>
    <d v="1899-12-30T09:03:58"/>
    <d v="1899-12-30T19:00:30"/>
    <d v="1899-12-30T09:56:32"/>
    <d v="1899-12-30T06:00:00"/>
    <d v="1899-12-30T03:56:32"/>
    <m/>
    <n v="8.9796602592758151E-2"/>
    <n v="1.6570370370370371"/>
  </r>
  <r>
    <x v="52"/>
    <x v="1"/>
    <x v="2"/>
    <x v="5"/>
    <x v="0"/>
    <d v="1899-12-30T01:00:19"/>
    <d v="1899-12-30T08:06:08"/>
    <d v="1899-12-30T15:13:13"/>
    <d v="1899-12-30T07:07:05"/>
    <d v="1899-12-30T07:12:00"/>
    <m/>
    <d v="1899-12-30T00:04:55"/>
    <n v="0.14122926829268295"/>
    <n v="0.98861882716049365"/>
  </r>
  <r>
    <x v="52"/>
    <x v="1"/>
    <x v="2"/>
    <x v="6"/>
    <x v="3"/>
    <d v="1899-12-30T00:53:01"/>
    <d v="1899-12-30T08:04:16"/>
    <d v="1899-12-30T15:12:33"/>
    <d v="1899-12-30T07:08:17"/>
    <d v="1899-12-30T07:12:00"/>
    <m/>
    <d v="1899-12-30T00:03:43"/>
    <n v="0.12378876911701754"/>
    <n v="0.99139660493827164"/>
  </r>
  <r>
    <x v="52"/>
    <x v="1"/>
    <x v="2"/>
    <x v="7"/>
    <x v="0"/>
    <d v="1899-12-30T00:58:25"/>
    <d v="1899-12-30T08:00:00"/>
    <d v="1899-12-30T15:14:13"/>
    <d v="1899-12-30T07:14:13"/>
    <d v="1899-12-30T07:12:00"/>
    <d v="1899-12-30T00:02:13"/>
    <m/>
    <n v="0.13453345104210648"/>
    <n v="1.005131172839506"/>
  </r>
  <r>
    <x v="52"/>
    <x v="1"/>
    <x v="2"/>
    <x v="19"/>
    <x v="2"/>
    <d v="1899-12-30T00:42:25"/>
    <d v="1899-12-30T10:35:19"/>
    <d v="1899-12-30T18:00:42"/>
    <d v="1899-12-30T07:25:23"/>
    <d v="1899-12-30T07:12:00"/>
    <d v="1899-12-30T00:13:23"/>
    <m/>
    <n v="9.523631328817872E-2"/>
    <n v="1.0309799382716049"/>
  </r>
  <r>
    <x v="52"/>
    <x v="1"/>
    <x v="2"/>
    <x v="11"/>
    <x v="4"/>
    <d v="1899-12-30T00:51:19"/>
    <d v="1899-12-30T08:08:16"/>
    <d v="1899-12-30T15:13:57"/>
    <d v="1899-12-30T07:05:41"/>
    <d v="1899-12-30T07:12:00"/>
    <m/>
    <d v="1899-12-30T00:06:19"/>
    <n v="0.1205512705062449"/>
    <n v="0.985378086419753"/>
  </r>
  <r>
    <x v="52"/>
    <x v="1"/>
    <x v="2"/>
    <x v="13"/>
    <x v="0"/>
    <d v="1899-12-30T00:52:53"/>
    <d v="1899-12-30T08:00:34"/>
    <d v="1899-12-30T15:12:53"/>
    <d v="1899-12-30T07:12:19"/>
    <d v="1899-12-30T07:12:00"/>
    <d v="1899-12-30T00:00:19"/>
    <m/>
    <n v="0.12232545587725047"/>
    <n v="1.0007330246913579"/>
  </r>
  <r>
    <x v="52"/>
    <x v="1"/>
    <x v="2"/>
    <x v="14"/>
    <x v="0"/>
    <d v="1899-12-30T01:10:38"/>
    <d v="1899-12-30T10:49:00"/>
    <d v="1899-12-30T18:01:06"/>
    <d v="1899-12-30T07:12:06"/>
    <d v="1899-12-30T07:12:00"/>
    <d v="1899-12-30T00:00:06"/>
    <m/>
    <n v="0.16346524724215075"/>
    <n v="1.0002314814814814"/>
  </r>
  <r>
    <x v="52"/>
    <x v="1"/>
    <x v="2"/>
    <x v="15"/>
    <x v="0"/>
    <d v="1899-12-30T01:00:25"/>
    <d v="1899-12-30T10:50:33"/>
    <d v="1899-12-30T18:00:56"/>
    <d v="1899-12-30T07:10:23"/>
    <d v="1899-12-30T07:12:00"/>
    <m/>
    <d v="1899-12-30T00:01:37"/>
    <n v="0.14037873213801649"/>
    <n v="0.99625771604938285"/>
  </r>
  <r>
    <x v="52"/>
    <x v="1"/>
    <x v="2"/>
    <x v="17"/>
    <x v="2"/>
    <d v="1899-12-30T01:00:33"/>
    <d v="1899-12-30T11:05:31"/>
    <d v="1899-12-30T18:10:02"/>
    <d v="1899-12-30T07:04:31"/>
    <d v="1899-12-30T07:12:00"/>
    <m/>
    <d v="1899-12-30T00:07:29"/>
    <n v="0.14263279808409562"/>
    <n v="0.98267746913580256"/>
  </r>
  <r>
    <x v="52"/>
    <x v="1"/>
    <x v="2"/>
    <x v="18"/>
    <x v="2"/>
    <d v="1899-12-30T00:50:46"/>
    <d v="1899-12-30T08:26:49"/>
    <d v="1899-12-30T15:16:42"/>
    <d v="1899-12-30T06:49:53"/>
    <d v="1899-12-30T07:12:00"/>
    <m/>
    <d v="1899-12-30T00:22:07"/>
    <n v="0.12385638189728784"/>
    <n v="0.94880401234567913"/>
  </r>
  <r>
    <x v="53"/>
    <x v="1"/>
    <x v="2"/>
    <x v="0"/>
    <x v="0"/>
    <d v="1899-12-30T01:09:47"/>
    <d v="1899-12-30T08:01:15"/>
    <d v="1899-12-30T15:13:08"/>
    <d v="1899-12-30T07:11:53"/>
    <d v="1899-12-30T07:12:00"/>
    <m/>
    <d v="1899-12-30T00:00:07"/>
    <n v="0.16157913016632577"/>
    <n v="0.99972993827160506"/>
  </r>
  <r>
    <x v="53"/>
    <x v="1"/>
    <x v="2"/>
    <x v="2"/>
    <x v="2"/>
    <d v="1899-12-30T00:11:48"/>
    <d v="1899-12-30T11:36:37"/>
    <d v="1899-12-30T18:00:00"/>
    <d v="1899-12-30T06:23:23"/>
    <d v="1899-12-30T06:00:00"/>
    <d v="1899-12-30T00:23:23"/>
    <m/>
    <n v="3.0778594096422206E-2"/>
    <n v="1.0649537037037038"/>
  </r>
  <r>
    <x v="53"/>
    <x v="1"/>
    <x v="2"/>
    <x v="5"/>
    <x v="0"/>
    <d v="1899-12-30T01:29:07"/>
    <d v="1899-12-30T08:16:42"/>
    <d v="1899-12-30T15:12:50"/>
    <d v="1899-12-30T06:56:08"/>
    <d v="1899-12-30T07:12:00"/>
    <m/>
    <d v="1899-12-30T00:15:52"/>
    <n v="0.21415411727010575"/>
    <n v="0.96327160493827158"/>
  </r>
  <r>
    <x v="53"/>
    <x v="1"/>
    <x v="2"/>
    <x v="6"/>
    <x v="3"/>
    <d v="1899-12-30T00:56:19"/>
    <d v="1899-12-30T08:02:11"/>
    <d v="1899-12-30T15:13:30"/>
    <d v="1899-12-30T07:11:19"/>
    <d v="1899-12-30T07:12:00"/>
    <m/>
    <d v="1899-12-30T00:00:41"/>
    <n v="0.13056918737200043"/>
    <n v="0.99841820987654339"/>
  </r>
  <r>
    <x v="53"/>
    <x v="1"/>
    <x v="2"/>
    <x v="7"/>
    <x v="0"/>
    <d v="1899-12-30T01:05:50"/>
    <d v="1899-12-30T08:00:00"/>
    <d v="1899-12-30T15:13:09"/>
    <d v="1899-12-30T07:13:09"/>
    <d v="1899-12-30T07:12:00"/>
    <d v="1899-12-30T00:01:09"/>
    <m/>
    <n v="0.15198737927584749"/>
    <n v="1.0026620370370372"/>
  </r>
  <r>
    <x v="53"/>
    <x v="1"/>
    <x v="2"/>
    <x v="19"/>
    <x v="2"/>
    <d v="1899-12-30T00:00:00"/>
    <d v="1899-12-30T09:56:00"/>
    <d v="1899-12-30T18:00:00"/>
    <d v="1899-12-30T08:04:00"/>
    <d v="1899-12-30T07:12:00"/>
    <d v="1899-12-30T00:52:00"/>
    <m/>
    <n v="0"/>
    <n v="1.1203703703703705"/>
  </r>
  <r>
    <x v="53"/>
    <x v="1"/>
    <x v="2"/>
    <x v="11"/>
    <x v="4"/>
    <d v="1899-12-30T01:05:25"/>
    <d v="1899-12-30T08:01:01"/>
    <d v="1899-12-30T15:12:37"/>
    <d v="1899-12-30T07:11:36"/>
    <d v="1899-12-30T07:12:00"/>
    <m/>
    <d v="1899-12-30T00:00:24"/>
    <n v="0.15156780970033981"/>
    <n v="0.99907407407407411"/>
  </r>
  <r>
    <x v="53"/>
    <x v="1"/>
    <x v="2"/>
    <x v="13"/>
    <x v="0"/>
    <d v="1899-12-30T00:52:21"/>
    <d v="1899-12-30T08:00:43"/>
    <d v="1899-12-30T15:12:52"/>
    <d v="1899-12-30T07:12:09"/>
    <d v="1899-12-30T07:12:00"/>
    <d v="1899-12-30T00:00:09"/>
    <m/>
    <n v="0.12113849357861853"/>
    <n v="1.0003472222222223"/>
  </r>
  <r>
    <x v="53"/>
    <x v="1"/>
    <x v="2"/>
    <x v="14"/>
    <x v="0"/>
    <d v="1899-12-30T01:15:19"/>
    <d v="1899-12-30T10:48:03"/>
    <d v="1899-12-30T18:02:40"/>
    <d v="1899-12-30T07:14:37"/>
    <d v="1899-12-30T07:12:00"/>
    <d v="1899-12-30T00:02:37"/>
    <m/>
    <n v="0.17329447405759865"/>
    <n v="1.0060570987654323"/>
  </r>
  <r>
    <x v="53"/>
    <x v="1"/>
    <x v="2"/>
    <x v="15"/>
    <x v="0"/>
    <d v="1899-12-30T01:08:22"/>
    <d v="1899-12-30T10:46:57"/>
    <d v="1899-12-30T18:00:36"/>
    <d v="1899-12-30T07:13:39"/>
    <d v="1899-12-30T07:12:00"/>
    <d v="1899-12-30T00:01:39"/>
    <m/>
    <n v="0.15765402206080176"/>
    <n v="1.0038194444444444"/>
  </r>
  <r>
    <x v="53"/>
    <x v="1"/>
    <x v="2"/>
    <x v="17"/>
    <x v="2"/>
    <d v="1899-12-30T00:00:00"/>
    <d v="1899-12-30T10:20:05"/>
    <d v="1899-12-30T18:00:00"/>
    <d v="1899-12-30T07:39:55"/>
    <d v="1899-12-30T07:12:00"/>
    <d v="1899-12-30T00:27:55"/>
    <m/>
    <n v="0"/>
    <n v="1.0646219135802468"/>
  </r>
  <r>
    <x v="53"/>
    <x v="1"/>
    <x v="2"/>
    <x v="18"/>
    <x v="2"/>
    <d v="1899-12-30T00:00:00"/>
    <d v="1899-12-30T08:00:07"/>
    <d v="1899-12-30T15:12:00"/>
    <d v="1899-12-30T07:11:53"/>
    <d v="1899-12-30T07:12:00"/>
    <m/>
    <d v="1899-12-30T00:00:07"/>
    <n v="0"/>
    <n v="0.99972993827160483"/>
  </r>
  <r>
    <x v="54"/>
    <x v="1"/>
    <x v="2"/>
    <x v="0"/>
    <x v="0"/>
    <d v="1899-12-30T01:01:46"/>
    <d v="1899-12-30T08:00:18"/>
    <d v="1899-12-30T15:12:16"/>
    <d v="1899-12-30T07:11:58"/>
    <d v="1899-12-30T07:12:00"/>
    <m/>
    <d v="1899-12-30T00:00:02"/>
    <n v="0.14298942819662014"/>
    <n v="0.99992283950617267"/>
  </r>
  <r>
    <x v="54"/>
    <x v="1"/>
    <x v="2"/>
    <x v="1"/>
    <x v="3"/>
    <d v="1899-12-30T01:06:04"/>
    <d v="1899-12-30T12:02:06"/>
    <d v="1899-12-30T18:00:26"/>
    <d v="1899-12-30T05:58:20"/>
    <d v="1899-12-30T06:00:00"/>
    <m/>
    <d v="1899-12-30T00:01:40"/>
    <n v="0.18437209302325586"/>
    <n v="0.99537037037037024"/>
  </r>
  <r>
    <x v="54"/>
    <x v="1"/>
    <x v="2"/>
    <x v="2"/>
    <x v="2"/>
    <d v="1899-12-30T00:09:44"/>
    <d v="1899-12-30T08:00:00"/>
    <d v="1899-12-30T15:14:00"/>
    <d v="1899-12-30T07:14:00"/>
    <d v="1899-12-30T07:12:00"/>
    <d v="1899-12-30T00:02:00"/>
    <m/>
    <n v="2.2427035330261136E-2"/>
    <n v="1.0046296296296295"/>
  </r>
  <r>
    <x v="54"/>
    <x v="1"/>
    <x v="2"/>
    <x v="5"/>
    <x v="0"/>
    <d v="1899-12-30T00:59:12"/>
    <d v="1899-12-30T08:21:26"/>
    <d v="1899-12-30T15:40:55"/>
    <d v="1899-12-30T07:19:29"/>
    <d v="1899-12-30T07:12:00"/>
    <d v="1899-12-30T00:07:29"/>
    <m/>
    <n v="0.13470362926163301"/>
    <n v="1.0173225308641973"/>
  </r>
  <r>
    <x v="54"/>
    <x v="1"/>
    <x v="2"/>
    <x v="6"/>
    <x v="3"/>
    <d v="1899-12-30T00:47:54"/>
    <d v="1899-12-30T08:12:23"/>
    <d v="1899-12-30T15:12:29"/>
    <d v="1899-12-30T07:00:06"/>
    <d v="1899-12-30T07:12:00"/>
    <m/>
    <d v="1899-12-30T00:11:54"/>
    <n v="0.11402047131635328"/>
    <n v="0.97245370370370365"/>
  </r>
  <r>
    <x v="54"/>
    <x v="1"/>
    <x v="2"/>
    <x v="7"/>
    <x v="0"/>
    <d v="1899-12-30T00:49:38"/>
    <d v="1899-12-30T08:00:00"/>
    <d v="1899-12-30T15:12:24"/>
    <d v="1899-12-30T07:12:24"/>
    <d v="1899-12-30T07:12:00"/>
    <d v="1899-12-30T00:00:24"/>
    <m/>
    <n v="0.11478569226025284"/>
    <n v="1.000925925925926"/>
  </r>
  <r>
    <x v="54"/>
    <x v="1"/>
    <x v="2"/>
    <x v="19"/>
    <x v="2"/>
    <d v="1899-12-30T00:09:27"/>
    <d v="1899-12-30T10:49:00"/>
    <d v="1899-12-30T18:01:04"/>
    <d v="1899-12-30T07:12:04"/>
    <d v="1899-12-30T07:12:00"/>
    <d v="1899-12-30T00:00:04"/>
    <m/>
    <n v="2.1871624749267092E-2"/>
    <n v="1.0001543209876542"/>
  </r>
  <r>
    <x v="54"/>
    <x v="1"/>
    <x v="2"/>
    <x v="11"/>
    <x v="4"/>
    <d v="1899-12-30T00:50:24"/>
    <d v="1899-12-30T08:02:48"/>
    <d v="1899-12-30T15:15:11"/>
    <d v="1899-12-30T07:12:23"/>
    <d v="1899-12-30T07:12:00"/>
    <d v="1899-12-30T00:00:23"/>
    <m/>
    <n v="0.11656323478394943"/>
    <n v="1.0008873456790124"/>
  </r>
  <r>
    <x v="54"/>
    <x v="1"/>
    <x v="2"/>
    <x v="13"/>
    <x v="0"/>
    <d v="1899-12-30T00:53:09"/>
    <d v="1899-12-30T08:00:18"/>
    <d v="1899-12-30T15:14:01"/>
    <d v="1899-12-30T07:13:43"/>
    <d v="1899-12-30T07:12:00"/>
    <d v="1899-12-30T00:01:43"/>
    <m/>
    <n v="0.12254544057180185"/>
    <n v="1.0039737654320988"/>
  </r>
  <r>
    <x v="54"/>
    <x v="1"/>
    <x v="2"/>
    <x v="14"/>
    <x v="0"/>
    <d v="1899-12-30T01:17:30"/>
    <d v="1899-12-30T10:51:11"/>
    <d v="1899-12-30T18:00:44"/>
    <d v="1899-12-30T07:09:33"/>
    <d v="1899-12-30T07:12:00"/>
    <m/>
    <d v="1899-12-30T00:02:27"/>
    <n v="0.18042137120242116"/>
    <n v="0.99432870370370374"/>
  </r>
  <r>
    <x v="54"/>
    <x v="1"/>
    <x v="2"/>
    <x v="15"/>
    <x v="0"/>
    <d v="1899-12-30T01:01:11"/>
    <d v="1899-12-30T10:50:01"/>
    <d v="1899-12-30T18:00:55"/>
    <d v="1899-12-30T07:10:54"/>
    <d v="1899-12-30T07:12:00"/>
    <m/>
    <d v="1899-12-30T00:01:06"/>
    <n v="0.14198963409917231"/>
    <n v="0.99745370370370345"/>
  </r>
  <r>
    <x v="54"/>
    <x v="1"/>
    <x v="2"/>
    <x v="17"/>
    <x v="2"/>
    <d v="1899-12-30T00:07:05"/>
    <d v="1899-12-30T10:48:00"/>
    <d v="1899-12-30T18:02:05"/>
    <d v="1899-12-30T07:14:05"/>
    <d v="1899-12-30T07:12:00"/>
    <d v="1899-12-30T00:02:05"/>
    <m/>
    <n v="1.6317911307352658E-2"/>
    <n v="1.0048225308641976"/>
  </r>
  <r>
    <x v="54"/>
    <x v="1"/>
    <x v="2"/>
    <x v="18"/>
    <x v="2"/>
    <d v="1899-12-30T00:00:00"/>
    <d v="1899-12-30T08:00:07"/>
    <d v="1899-12-30T15:40:08"/>
    <d v="1899-12-30T07:40:01"/>
    <d v="1899-12-30T07:12:00"/>
    <d v="1899-12-30T00:28:01"/>
    <m/>
    <n v="0"/>
    <n v="1.0648533950617283"/>
  </r>
  <r>
    <x v="55"/>
    <x v="1"/>
    <x v="2"/>
    <x v="0"/>
    <x v="0"/>
    <d v="1899-12-30T01:24:02"/>
    <d v="1899-12-30T08:01:40"/>
    <d v="1899-12-30T15:21:09"/>
    <d v="1899-12-30T07:19:29"/>
    <d v="1899-12-30T07:12:00"/>
    <d v="1899-12-30T00:07:29"/>
    <m/>
    <n v="0.19120937464446891"/>
    <n v="1.0173225308641973"/>
  </r>
  <r>
    <x v="55"/>
    <x v="1"/>
    <x v="2"/>
    <x v="1"/>
    <x v="3"/>
    <d v="1899-12-30T01:11:31"/>
    <d v="1899-12-30T12:13:58"/>
    <d v="1899-12-30T18:00:13"/>
    <d v="1899-12-30T05:46:15"/>
    <d v="1899-12-30T06:00:00"/>
    <m/>
    <d v="1899-12-30T00:13:45"/>
    <n v="0.20654632972322506"/>
    <n v="0.96180555555555536"/>
  </r>
  <r>
    <x v="55"/>
    <x v="1"/>
    <x v="2"/>
    <x v="2"/>
    <x v="2"/>
    <d v="1899-12-30T01:03:46"/>
    <d v="1899-12-30T08:02:45"/>
    <d v="1899-12-30T15:14:59"/>
    <d v="1899-12-30T07:12:14"/>
    <d v="1899-12-30T07:12:00"/>
    <d v="1899-12-30T00:00:14"/>
    <m/>
    <n v="0.14752834117374874"/>
    <n v="1.0005401234567901"/>
  </r>
  <r>
    <x v="55"/>
    <x v="1"/>
    <x v="2"/>
    <x v="5"/>
    <x v="0"/>
    <d v="1899-12-30T01:21:03"/>
    <d v="1899-12-30T08:16:59"/>
    <d v="1899-12-30T15:22:22"/>
    <d v="1899-12-30T07:05:23"/>
    <d v="1899-12-30T07:12:00"/>
    <m/>
    <d v="1899-12-30T00:06:37"/>
    <n v="0.19053402813148926"/>
    <n v="0.98468364197530855"/>
  </r>
  <r>
    <x v="55"/>
    <x v="1"/>
    <x v="2"/>
    <x v="6"/>
    <x v="3"/>
    <d v="1899-12-30T00:52:26"/>
    <d v="1899-12-30T08:07:04"/>
    <d v="1899-12-30T15:12:21"/>
    <d v="1899-12-30T07:05:17"/>
    <d v="1899-12-30T07:12:00"/>
    <m/>
    <d v="1899-12-30T00:06:43"/>
    <n v="0.12329035544930829"/>
    <n v="0.98445216049382722"/>
  </r>
  <r>
    <x v="55"/>
    <x v="1"/>
    <x v="2"/>
    <x v="7"/>
    <x v="0"/>
    <d v="1899-12-30T00:52:07"/>
    <d v="1899-12-30T08:00:39"/>
    <d v="1899-12-30T15:12:41"/>
    <d v="1899-12-30T07:12:02"/>
    <d v="1899-12-30T07:12:00"/>
    <d v="1899-12-30T00:00:02"/>
    <m/>
    <n v="0.12063112414165575"/>
    <n v="1.0000771604938272"/>
  </r>
  <r>
    <x v="55"/>
    <x v="1"/>
    <x v="2"/>
    <x v="19"/>
    <x v="2"/>
    <d v="1899-12-30T00:55:18"/>
    <d v="1899-12-30T10:48:15"/>
    <d v="1899-12-30T18:03:03"/>
    <d v="1899-12-30T07:14:48"/>
    <d v="1899-12-30T07:12:00"/>
    <d v="1899-12-30T00:02:48"/>
    <m/>
    <n v="0.12718491260349585"/>
    <n v="1.0064814814814815"/>
  </r>
  <r>
    <x v="55"/>
    <x v="1"/>
    <x v="2"/>
    <x v="11"/>
    <x v="4"/>
    <d v="1899-12-30T00:48:26"/>
    <d v="1899-12-30T08:00:00"/>
    <d v="1899-12-30T15:18:00"/>
    <d v="1899-12-30T07:18:00"/>
    <d v="1899-12-30T07:12:00"/>
    <d v="1899-12-30T00:06:00"/>
    <m/>
    <n v="0.11057838660578388"/>
    <n v="1.0138888888888888"/>
  </r>
  <r>
    <x v="55"/>
    <x v="1"/>
    <x v="2"/>
    <x v="13"/>
    <x v="0"/>
    <d v="1899-12-30T00:43:51"/>
    <d v="1899-12-30T08:00:00"/>
    <d v="1899-12-30T15:12:57"/>
    <d v="1899-12-30T07:12:57"/>
    <d v="1899-12-30T07:12:00"/>
    <d v="1899-12-30T00:00:57"/>
    <m/>
    <n v="0.10128190322208108"/>
    <n v="1.002199074074074"/>
  </r>
  <r>
    <x v="55"/>
    <x v="1"/>
    <x v="2"/>
    <x v="15"/>
    <x v="0"/>
    <d v="1899-12-30T01:03:48"/>
    <d v="1899-12-30T10:47:40"/>
    <d v="1899-12-30T18:06:44"/>
    <d v="1899-12-30T07:19:04"/>
    <d v="1899-12-30T07:12:00"/>
    <d v="1899-12-30T00:07:04"/>
    <m/>
    <n v="0.14530822957789249"/>
    <n v="1.0163580246913582"/>
  </r>
  <r>
    <x v="55"/>
    <x v="1"/>
    <x v="2"/>
    <x v="17"/>
    <x v="2"/>
    <d v="1899-12-30T01:09:17"/>
    <d v="1899-12-30T11:10:06"/>
    <d v="1899-12-30T18:02:23"/>
    <d v="1899-12-30T06:52:17"/>
    <d v="1899-12-30T07:12:00"/>
    <m/>
    <d v="1899-12-30T00:19:43"/>
    <n v="0.16804786352427542"/>
    <n v="0.95435956790123444"/>
  </r>
  <r>
    <x v="55"/>
    <x v="1"/>
    <x v="2"/>
    <x v="18"/>
    <x v="2"/>
    <d v="1899-12-30T01:26:45"/>
    <d v="1899-12-30T08:15:36"/>
    <d v="1899-12-30T15:13:11"/>
    <d v="1899-12-30T06:57:35"/>
    <d v="1899-12-30T07:12:00"/>
    <m/>
    <d v="1899-12-30T00:14:25"/>
    <n v="0.20774296547595289"/>
    <n v="0.96662808641975317"/>
  </r>
  <r>
    <x v="56"/>
    <x v="1"/>
    <x v="2"/>
    <x v="1"/>
    <x v="3"/>
    <d v="1899-12-30T01:01:20"/>
    <d v="1899-12-30T12:57:47"/>
    <d v="1899-12-30T18:00:23"/>
    <d v="1899-12-30T05:02:36"/>
    <d v="1899-12-30T06:00:00"/>
    <m/>
    <d v="1899-12-30T00:57:24"/>
    <n v="0.20268781669971361"/>
    <n v="0.8405555555555555"/>
  </r>
  <r>
    <x v="56"/>
    <x v="1"/>
    <x v="2"/>
    <x v="2"/>
    <x v="2"/>
    <d v="1899-12-30T00:50:03"/>
    <d v="1899-12-30T08:35:44"/>
    <d v="1899-12-30T15:22:11"/>
    <d v="1899-12-30T06:46:27"/>
    <d v="1899-12-30T07:12:00"/>
    <m/>
    <d v="1899-12-30T00:25:33"/>
    <n v="0.12313937753721245"/>
    <n v="0.94085648148148149"/>
  </r>
  <r>
    <x v="56"/>
    <x v="1"/>
    <x v="2"/>
    <x v="5"/>
    <x v="0"/>
    <d v="1899-12-30T01:47:44"/>
    <d v="1899-12-30T08:36:13"/>
    <d v="1899-12-30T15:21:14"/>
    <d v="1899-12-30T06:45:01"/>
    <d v="1899-12-30T07:12:00"/>
    <m/>
    <d v="1899-12-30T00:26:59"/>
    <n v="0.26599728406238426"/>
    <n v="0.93753858024691372"/>
  </r>
  <r>
    <x v="56"/>
    <x v="1"/>
    <x v="2"/>
    <x v="6"/>
    <x v="3"/>
    <d v="1899-12-30T00:49:47"/>
    <d v="1899-12-30T08:17:54"/>
    <d v="1899-12-30T15:20:36"/>
    <d v="1899-12-30T07:02:42"/>
    <d v="1899-12-30T07:12:00"/>
    <m/>
    <d v="1899-12-30T00:09:18"/>
    <n v="0.11777462345240911"/>
    <n v="0.97847222222222241"/>
  </r>
  <r>
    <x v="56"/>
    <x v="1"/>
    <x v="2"/>
    <x v="7"/>
    <x v="0"/>
    <d v="1899-12-30T01:30:47"/>
    <d v="1899-12-30T08:00:40"/>
    <d v="1899-12-30T15:12:20"/>
    <d v="1899-12-30T07:11:40"/>
    <d v="1899-12-30T07:12:00"/>
    <m/>
    <d v="1899-12-30T00:00:20"/>
    <n v="0.21030888030888029"/>
    <n v="0.99922839506172856"/>
  </r>
  <r>
    <x v="56"/>
    <x v="1"/>
    <x v="2"/>
    <x v="19"/>
    <x v="2"/>
    <d v="1899-12-30T01:48:19"/>
    <d v="1899-12-30T10:47:36"/>
    <d v="1899-12-30T18:01:53"/>
    <d v="1899-12-30T07:14:17"/>
    <d v="1899-12-30T07:12:00"/>
    <d v="1899-12-30T00:02:17"/>
    <m/>
    <n v="0.24941474459838045"/>
    <n v="1.0052854938271605"/>
  </r>
  <r>
    <x v="56"/>
    <x v="1"/>
    <x v="2"/>
    <x v="11"/>
    <x v="4"/>
    <d v="1899-12-30T00:58:48"/>
    <d v="1899-12-30T08:00:19"/>
    <d v="1899-12-30T15:15:34"/>
    <d v="1899-12-30T07:15:15"/>
    <d v="1899-12-30T07:12:00"/>
    <d v="1899-12-30T00:03:15"/>
    <m/>
    <n v="0.13509477311889717"/>
    <n v="1.0075231481481481"/>
  </r>
  <r>
    <x v="56"/>
    <x v="1"/>
    <x v="2"/>
    <x v="13"/>
    <x v="0"/>
    <d v="1899-12-30T00:47:00"/>
    <d v="1899-12-30T08:00:38"/>
    <d v="1899-12-30T15:18:25"/>
    <d v="1899-12-30T07:17:47"/>
    <d v="1899-12-30T07:12:00"/>
    <d v="1899-12-30T00:05:47"/>
    <m/>
    <n v="0.10735904366695856"/>
    <n v="1.0133873456790123"/>
  </r>
  <r>
    <x v="56"/>
    <x v="1"/>
    <x v="2"/>
    <x v="15"/>
    <x v="0"/>
    <d v="1899-12-30T01:43:40"/>
    <d v="1899-12-30T10:58:55"/>
    <d v="1899-12-30T18:00:39"/>
    <d v="1899-12-30T07:01:44"/>
    <d v="1899-12-30T07:12:00"/>
    <m/>
    <d v="1899-12-30T00:10:16"/>
    <n v="0.24581093898197917"/>
    <n v="0.97623456790123453"/>
  </r>
  <r>
    <x v="56"/>
    <x v="1"/>
    <x v="2"/>
    <x v="17"/>
    <x v="2"/>
    <d v="1899-12-30T01:50:23"/>
    <d v="1899-12-30T09:39:36"/>
    <d v="1899-12-30T18:04:31"/>
    <d v="1899-12-30T08:24:55"/>
    <d v="1899-12-30T07:12:00"/>
    <d v="1899-12-30T01:12:55"/>
    <m/>
    <n v="0.21861693348737415"/>
    <n v="1.1687885802469136"/>
  </r>
  <r>
    <x v="56"/>
    <x v="1"/>
    <x v="2"/>
    <x v="18"/>
    <x v="2"/>
    <d v="1899-12-30T00:21:41"/>
    <d v="1899-12-30T08:40:27"/>
    <d v="1899-12-30T10:13:54"/>
    <d v="1899-12-30T01:33:27"/>
    <d v="1899-12-30T07:12:00"/>
    <m/>
    <d v="1899-12-30T05:38:33"/>
    <n v="0.23203138933476017"/>
    <n v="0.2163194444444444"/>
  </r>
  <r>
    <x v="57"/>
    <x v="1"/>
    <x v="2"/>
    <x v="0"/>
    <x v="0"/>
    <d v="1899-12-30T00:59:28"/>
    <d v="1899-12-30T08:00:36"/>
    <d v="1899-12-30T15:13:59"/>
    <d v="1899-12-30T07:13:23"/>
    <d v="1899-12-30T07:12:00"/>
    <d v="1899-12-30T00:01:23"/>
    <m/>
    <n v="0.13721493673806867"/>
    <n v="1.0032021604938273"/>
  </r>
  <r>
    <x v="57"/>
    <x v="1"/>
    <x v="2"/>
    <x v="1"/>
    <x v="3"/>
    <d v="1899-12-30T00:52:54"/>
    <d v="1899-12-30T12:20:18"/>
    <d v="1899-12-30T18:02:26"/>
    <d v="1899-12-30T05:42:08"/>
    <d v="1899-12-30T06:00:00"/>
    <m/>
    <d v="1899-12-30T00:17:52"/>
    <n v="0.15461808261886203"/>
    <n v="0.95037037037037031"/>
  </r>
  <r>
    <x v="57"/>
    <x v="1"/>
    <x v="2"/>
    <x v="2"/>
    <x v="2"/>
    <d v="1899-12-30T00:52:42"/>
    <d v="1899-12-30T08:07:20"/>
    <d v="1899-12-30T15:15:29"/>
    <d v="1899-12-30T07:08:09"/>
    <d v="1899-12-30T07:12:00"/>
    <m/>
    <d v="1899-12-30T00:03:51"/>
    <n v="0.12308770290785938"/>
    <n v="0.9910879629629632"/>
  </r>
  <r>
    <x v="57"/>
    <x v="1"/>
    <x v="2"/>
    <x v="5"/>
    <x v="0"/>
    <d v="1899-12-30T01:13:35"/>
    <d v="1899-12-30T08:00:53"/>
    <d v="1899-12-30T15:12:45"/>
    <d v="1899-12-30T07:11:52"/>
    <d v="1899-12-30T07:12:00"/>
    <m/>
    <d v="1899-12-30T00:00:08"/>
    <n v="0.17038437789441183"/>
    <n v="0.99969135802469156"/>
  </r>
  <r>
    <x v="57"/>
    <x v="1"/>
    <x v="2"/>
    <x v="6"/>
    <x v="3"/>
    <d v="1899-12-30T00:51:35"/>
    <d v="1899-12-30T08:14:49"/>
    <d v="1899-12-30T15:13:26"/>
    <d v="1899-12-30T06:58:37"/>
    <d v="1899-12-30T07:12:00"/>
    <m/>
    <d v="1899-12-30T00:13:23"/>
    <n v="0.12322331488633195"/>
    <n v="0.96902006172839528"/>
  </r>
  <r>
    <x v="57"/>
    <x v="1"/>
    <x v="2"/>
    <x v="7"/>
    <x v="0"/>
    <d v="1899-12-30T00:48:21"/>
    <d v="1899-12-30T07:59:08"/>
    <d v="1899-12-30T15:12:55"/>
    <d v="1899-12-30T07:13:47"/>
    <d v="1899-12-30T07:12:00"/>
    <d v="1899-12-30T00:01:47"/>
    <m/>
    <n v="0.11146117493372266"/>
    <n v="1.0041280864197533"/>
  </r>
  <r>
    <x v="57"/>
    <x v="1"/>
    <x v="2"/>
    <x v="11"/>
    <x v="4"/>
    <d v="1899-12-30T00:51:17"/>
    <d v="1899-12-30T08:05:22"/>
    <d v="1899-12-30T15:14:24"/>
    <d v="1899-12-30T07:09:02"/>
    <d v="1899-12-30T07:12:00"/>
    <m/>
    <d v="1899-12-30T00:02:58"/>
    <n v="0.11953228187398027"/>
    <n v="0.99313271604938269"/>
  </r>
  <r>
    <x v="57"/>
    <x v="1"/>
    <x v="2"/>
    <x v="13"/>
    <x v="0"/>
    <d v="1899-12-30T00:56:26"/>
    <d v="1899-12-30T08:00:55"/>
    <d v="1899-12-30T15:12:55"/>
    <d v="1899-12-30T07:12:00"/>
    <d v="1899-12-30T07:12:00"/>
    <d v="1899-12-30T00:00:00"/>
    <d v="1899-12-30T00:00:00"/>
    <n v="0.1306327160493827"/>
    <n v="1.0000000000000002"/>
  </r>
  <r>
    <x v="57"/>
    <x v="1"/>
    <x v="2"/>
    <x v="14"/>
    <x v="0"/>
    <d v="1899-12-30T01:07:45"/>
    <d v="1899-12-30T10:49:54"/>
    <d v="1899-12-30T18:01:01"/>
    <d v="1899-12-30T07:11:07"/>
    <d v="1899-12-30T07:12:00"/>
    <m/>
    <d v="1899-12-30T00:00:53"/>
    <n v="0.15715003672633085"/>
    <n v="0.99795524691358017"/>
  </r>
  <r>
    <x v="57"/>
    <x v="1"/>
    <x v="2"/>
    <x v="15"/>
    <x v="0"/>
    <d v="1899-12-30T01:06:46"/>
    <d v="1899-12-30T10:50:03"/>
    <d v="1899-12-30T18:00:26"/>
    <d v="1899-12-30T07:10:23"/>
    <d v="1899-12-30T07:12:00"/>
    <m/>
    <d v="1899-12-30T00:01:37"/>
    <n v="0.15513302095031564"/>
    <n v="0.99625771604938262"/>
  </r>
  <r>
    <x v="57"/>
    <x v="1"/>
    <x v="2"/>
    <x v="17"/>
    <x v="2"/>
    <d v="1899-12-30T02:25:04"/>
    <d v="1899-12-30T09:01:45"/>
    <d v="1899-12-30T18:00:52"/>
    <d v="1899-12-30T08:59:07"/>
    <d v="1899-12-30T07:12:00"/>
    <d v="1899-12-30T01:47:07"/>
    <m/>
    <n v="0.2690821405385353"/>
    <n v="1.24795524691358"/>
  </r>
  <r>
    <x v="57"/>
    <x v="1"/>
    <x v="2"/>
    <x v="18"/>
    <x v="2"/>
    <d v="1899-12-30T01:02:00"/>
    <d v="1899-12-30T08:30:03"/>
    <d v="1899-12-30T15:13:05"/>
    <d v="1899-12-30T06:43:02"/>
    <d v="1899-12-30T07:12:00"/>
    <m/>
    <d v="1899-12-30T00:28:58"/>
    <n v="0.15383342982383591"/>
    <n v="0.93294753086419757"/>
  </r>
  <r>
    <x v="58"/>
    <x v="1"/>
    <x v="2"/>
    <x v="0"/>
    <x v="0"/>
    <d v="1899-12-30T00:52:48"/>
    <d v="1899-12-30T08:00:38"/>
    <d v="1899-12-30T14:05:50"/>
    <d v="1899-12-30T06:05:12"/>
    <d v="1899-12-30T07:12:00"/>
    <m/>
    <d v="1899-12-30T01:06:48"/>
    <n v="0.14457831325301201"/>
    <n v="0.84537037037037066"/>
  </r>
  <r>
    <x v="58"/>
    <x v="1"/>
    <x v="2"/>
    <x v="2"/>
    <x v="2"/>
    <d v="1899-12-30T00:40:54"/>
    <d v="1899-12-30T08:15:50"/>
    <d v="1899-12-30T15:14:54"/>
    <d v="1899-12-30T06:59:04"/>
    <d v="1899-12-30T07:12:00"/>
    <m/>
    <d v="1899-12-30T00:12:56"/>
    <n v="9.7597836461979018E-2"/>
    <n v="0.97006172839506155"/>
  </r>
  <r>
    <x v="58"/>
    <x v="1"/>
    <x v="2"/>
    <x v="6"/>
    <x v="3"/>
    <d v="1899-12-30T00:54:48"/>
    <d v="1899-12-30T08:01:42"/>
    <d v="1899-12-30T15:18:23"/>
    <d v="1899-12-30T07:16:41"/>
    <d v="1899-12-30T07:12:00"/>
    <d v="1899-12-30T00:04:41"/>
    <m/>
    <n v="0.12549139345826493"/>
    <n v="1.0108410493827162"/>
  </r>
  <r>
    <x v="58"/>
    <x v="1"/>
    <x v="2"/>
    <x v="7"/>
    <x v="0"/>
    <d v="1899-12-30T00:54:10"/>
    <d v="1899-12-30T08:01:08"/>
    <d v="1899-12-30T15:12:33"/>
    <d v="1899-12-30T07:11:25"/>
    <d v="1899-12-30T07:12:00"/>
    <m/>
    <d v="1899-12-30T00:00:35"/>
    <n v="0.12555534093104112"/>
    <n v="0.99864969135802495"/>
  </r>
  <r>
    <x v="58"/>
    <x v="1"/>
    <x v="2"/>
    <x v="19"/>
    <x v="2"/>
    <d v="1899-12-30T01:03:17"/>
    <d v="1899-12-30T10:57:30"/>
    <d v="1899-12-30T18:01:13"/>
    <d v="1899-12-30T07:03:43"/>
    <d v="1899-12-30T07:12:00"/>
    <m/>
    <d v="1899-12-30T00:08:17"/>
    <n v="0.14935294811784605"/>
    <n v="0.98082561728395068"/>
  </r>
  <r>
    <x v="58"/>
    <x v="1"/>
    <x v="2"/>
    <x v="11"/>
    <x v="4"/>
    <d v="1899-12-30T00:46:27"/>
    <d v="1899-12-30T08:04:17"/>
    <d v="1899-12-30T15:12:53"/>
    <d v="1899-12-30T07:08:36"/>
    <d v="1899-12-30T07:12:00"/>
    <m/>
    <d v="1899-12-30T00:03:24"/>
    <n v="0.10837610825944936"/>
    <n v="0.99212962962962969"/>
  </r>
  <r>
    <x v="58"/>
    <x v="1"/>
    <x v="2"/>
    <x v="13"/>
    <x v="0"/>
    <d v="1899-12-30T00:23:20"/>
    <d v="1899-12-30T08:01:36"/>
    <d v="1899-12-30T15:15:22"/>
    <d v="1899-12-30T07:13:46"/>
    <d v="1899-12-30T07:12:00"/>
    <d v="1899-12-30T00:01:46"/>
    <m/>
    <n v="5.3792361484669177E-2"/>
    <n v="1.0040895061728394"/>
  </r>
  <r>
    <x v="58"/>
    <x v="1"/>
    <x v="2"/>
    <x v="14"/>
    <x v="0"/>
    <d v="1899-12-30T01:11:36"/>
    <d v="1899-12-30T10:50:17"/>
    <d v="1899-12-30T18:00:40"/>
    <d v="1899-12-30T07:10:23"/>
    <d v="1899-12-30T07:12:00"/>
    <m/>
    <d v="1899-12-30T00:01:37"/>
    <n v="0.16636331952135691"/>
    <n v="0.99625771604938285"/>
  </r>
  <r>
    <x v="58"/>
    <x v="1"/>
    <x v="2"/>
    <x v="15"/>
    <x v="0"/>
    <d v="1899-12-30T01:03:27"/>
    <d v="1899-12-30T11:02:18"/>
    <d v="1899-12-30T18:00:34"/>
    <d v="1899-12-30T06:58:16"/>
    <d v="1899-12-30T07:12:00"/>
    <m/>
    <d v="1899-12-30T00:13:44"/>
    <n v="0.15169748167038571"/>
    <n v="0.96820987654321"/>
  </r>
  <r>
    <x v="58"/>
    <x v="1"/>
    <x v="2"/>
    <x v="17"/>
    <x v="2"/>
    <d v="1899-12-30T00:44:12"/>
    <d v="1899-12-30T11:02:18"/>
    <d v="1899-12-30T18:05:51"/>
    <d v="1899-12-30T07:03:33"/>
    <d v="1899-12-30T07:12:00"/>
    <m/>
    <d v="1899-12-30T00:08:27"/>
    <n v="0.10435603824814073"/>
    <n v="0.98043981481481468"/>
  </r>
  <r>
    <x v="58"/>
    <x v="1"/>
    <x v="2"/>
    <x v="18"/>
    <x v="2"/>
    <d v="1899-12-30T01:09:32"/>
    <d v="1899-12-30T08:05:15"/>
    <d v="1899-12-30T15:14:11"/>
    <d v="1899-12-30T07:08:56"/>
    <d v="1899-12-30T07:12:00"/>
    <m/>
    <d v="1899-12-30T00:03:04"/>
    <n v="0.16210755362138637"/>
    <n v="0.99290123456790136"/>
  </r>
  <r>
    <x v="59"/>
    <x v="1"/>
    <x v="3"/>
    <x v="0"/>
    <x v="0"/>
    <d v="1899-12-30T00:54:39"/>
    <d v="1899-12-30T08:10:29"/>
    <d v="1899-12-30T16:12:17"/>
    <d v="1899-12-30T08:01:48"/>
    <d v="1899-12-30T07:12:00"/>
    <d v="1899-12-30T00:49:48"/>
    <m/>
    <n v="0.11342880863428809"/>
    <n v="1.1152777777777778"/>
  </r>
  <r>
    <x v="59"/>
    <x v="1"/>
    <x v="3"/>
    <x v="2"/>
    <x v="0"/>
    <d v="1899-12-30T01:05:23"/>
    <d v="1899-12-30T08:50:07"/>
    <d v="1899-12-30T15:25:00"/>
    <d v="1899-12-30T06:34:53"/>
    <d v="1899-12-30T07:12:00"/>
    <m/>
    <d v="1899-12-30T00:37:07"/>
    <n v="0.16557633056176926"/>
    <n v="0.91408179012345703"/>
  </r>
  <r>
    <x v="59"/>
    <x v="1"/>
    <x v="3"/>
    <x v="5"/>
    <x v="0"/>
    <d v="1899-12-30T01:20:10"/>
    <d v="1899-12-30T08:55:09"/>
    <d v="1899-12-30T15:21:41"/>
    <d v="1899-12-30T06:26:32"/>
    <d v="1899-12-30T07:12:00"/>
    <m/>
    <d v="1899-12-30T00:45:28"/>
    <n v="0.20739910313901347"/>
    <n v="0.89475308641975304"/>
  </r>
  <r>
    <x v="59"/>
    <x v="1"/>
    <x v="3"/>
    <x v="6"/>
    <x v="3"/>
    <d v="1899-12-30T00:57:18"/>
    <d v="1899-12-30T10:57:05"/>
    <d v="1899-12-30T18:00:10"/>
    <d v="1899-12-30T07:03:05"/>
    <d v="1899-12-30T07:12:00"/>
    <m/>
    <d v="1899-12-30T00:08:55"/>
    <n v="0.1354343116013394"/>
    <n v="0.97935956790123457"/>
  </r>
  <r>
    <x v="59"/>
    <x v="1"/>
    <x v="3"/>
    <x v="7"/>
    <x v="0"/>
    <d v="1899-12-30T00:52:59"/>
    <d v="1899-12-30T07:59:45"/>
    <d v="1899-12-30T15:12:20"/>
    <d v="1899-12-30T07:12:35"/>
    <d v="1899-12-30T07:12:00"/>
    <d v="1899-12-30T00:00:35"/>
    <m/>
    <n v="0.12248121749181275"/>
    <n v="1.0013503086419755"/>
  </r>
  <r>
    <x v="59"/>
    <x v="1"/>
    <x v="3"/>
    <x v="11"/>
    <x v="4"/>
    <d v="1899-12-30T00:51:28"/>
    <d v="1899-12-30T08:00:06"/>
    <d v="1899-12-30T15:18:20"/>
    <d v="1899-12-30T07:18:14"/>
    <d v="1899-12-30T07:12:00"/>
    <d v="1899-12-30T00:06:14"/>
    <m/>
    <n v="0.11744124134783598"/>
    <n v="1.0144290123456792"/>
  </r>
  <r>
    <x v="59"/>
    <x v="1"/>
    <x v="3"/>
    <x v="13"/>
    <x v="0"/>
    <d v="1899-12-30T00:00:00"/>
    <d v="1899-12-30T08:00:31"/>
    <d v="1899-12-30T08:10:29"/>
    <d v="1899-12-30T00:09:58"/>
    <d v="1899-12-30T07:12:00"/>
    <m/>
    <d v="1899-12-30T07:02:02"/>
    <n v="0"/>
    <n v="2.3070987654320956E-2"/>
  </r>
  <r>
    <x v="59"/>
    <x v="1"/>
    <x v="3"/>
    <x v="14"/>
    <x v="0"/>
    <d v="1899-12-30T01:14:02"/>
    <d v="1899-12-30T10:52:08"/>
    <d v="1899-12-30T18:00:24"/>
    <d v="1899-12-30T07:08:16"/>
    <d v="1899-12-30T07:12:00"/>
    <m/>
    <d v="1899-12-30T00:03:44"/>
    <n v="0.17286737235367369"/>
    <n v="0.99135802469135825"/>
  </r>
  <r>
    <x v="59"/>
    <x v="1"/>
    <x v="3"/>
    <x v="15"/>
    <x v="0"/>
    <d v="1899-12-30T01:05:07"/>
    <d v="1899-12-30T10:51:18"/>
    <d v="1899-12-30T18:02:01"/>
    <d v="1899-12-30T07:10:43"/>
    <d v="1899-12-30T07:12:00"/>
    <m/>
    <d v="1899-12-30T00:01:17"/>
    <n v="0.1511821382966374"/>
    <n v="0.99702932098765429"/>
  </r>
  <r>
    <x v="59"/>
    <x v="1"/>
    <x v="3"/>
    <x v="17"/>
    <x v="0"/>
    <d v="1899-12-30T01:20:20"/>
    <d v="1899-12-30T11:02:17"/>
    <d v="1899-12-30T18:01:58"/>
    <d v="1899-12-30T06:59:41"/>
    <d v="1899-12-30T07:12:00"/>
    <m/>
    <d v="1899-12-30T00:12:19"/>
    <n v="0.19141416147095033"/>
    <n v="0.97148919753086416"/>
  </r>
  <r>
    <x v="60"/>
    <x v="1"/>
    <x v="3"/>
    <x v="0"/>
    <x v="0"/>
    <d v="1899-12-30T00:56:32"/>
    <d v="1899-12-30T08:00:32"/>
    <d v="1899-12-30T15:16:58"/>
    <d v="1899-12-30T07:16:26"/>
    <d v="1899-12-30T07:12:00"/>
    <d v="1899-12-30T00:04:26"/>
    <m/>
    <n v="0.12953486595890934"/>
    <n v="1.0102623456790125"/>
  </r>
  <r>
    <x v="60"/>
    <x v="1"/>
    <x v="3"/>
    <x v="2"/>
    <x v="0"/>
    <d v="1899-12-30T00:51:45"/>
    <d v="1899-12-30T08:25:43"/>
    <d v="1899-12-30T15:42:47"/>
    <d v="1899-12-30T07:17:04"/>
    <d v="1899-12-30T07:12:00"/>
    <d v="1899-12-30T00:05:04"/>
    <m/>
    <n v="0.11840298962782184"/>
    <n v="1.0117283950617284"/>
  </r>
  <r>
    <x v="60"/>
    <x v="1"/>
    <x v="3"/>
    <x v="5"/>
    <x v="0"/>
    <d v="1899-12-30T01:07:57"/>
    <d v="1899-12-30T08:09:27"/>
    <d v="1899-12-30T15:13:40"/>
    <d v="1899-12-30T07:04:13"/>
    <d v="1899-12-30T07:12:00"/>
    <m/>
    <d v="1899-12-30T00:07:47"/>
    <n v="0.1601775822103485"/>
    <n v="0.98198302469135801"/>
  </r>
  <r>
    <x v="60"/>
    <x v="1"/>
    <x v="3"/>
    <x v="6"/>
    <x v="3"/>
    <d v="1899-12-30T00:52:25"/>
    <d v="1899-12-30T10:19:01"/>
    <d v="1899-12-30T18:02:10"/>
    <d v="1899-12-30T07:43:09"/>
    <d v="1899-12-30T07:12:00"/>
    <d v="1899-12-30T00:31:09"/>
    <m/>
    <n v="0.11317427759185289"/>
    <n v="1.0721064814814816"/>
  </r>
  <r>
    <x v="60"/>
    <x v="1"/>
    <x v="3"/>
    <x v="7"/>
    <x v="0"/>
    <d v="1899-12-30T00:50:13"/>
    <d v="1899-12-30T08:01:20"/>
    <d v="1899-12-30T15:12:28"/>
    <d v="1899-12-30T07:11:08"/>
    <d v="1899-12-30T07:12:00"/>
    <m/>
    <d v="1899-12-30T00:00:52"/>
    <n v="0.11647595484768827"/>
    <n v="0.99799382716049378"/>
  </r>
  <r>
    <x v="60"/>
    <x v="1"/>
    <x v="3"/>
    <x v="20"/>
    <x v="3"/>
    <d v="1899-12-30T00:40:05"/>
    <d v="1899-12-30T11:46:18"/>
    <d v="1899-12-30T18:00:42"/>
    <d v="1899-12-30T06:14:24"/>
    <d v="1899-12-30T07:12:00"/>
    <m/>
    <d v="1899-12-30T00:57:36"/>
    <n v="0.1070601851851852"/>
    <n v="0.86666666666666659"/>
  </r>
  <r>
    <x v="60"/>
    <x v="1"/>
    <x v="3"/>
    <x v="11"/>
    <x v="4"/>
    <d v="1899-12-30T00:40:03"/>
    <d v="1899-12-30T08:21:30"/>
    <d v="1899-12-30T15:20:29"/>
    <d v="1899-12-30T06:58:59"/>
    <d v="1899-12-30T07:12:00"/>
    <m/>
    <d v="1899-12-30T00:13:01"/>
    <n v="9.5588527785512536E-2"/>
    <n v="0.96986882716049405"/>
  </r>
  <r>
    <x v="60"/>
    <x v="1"/>
    <x v="3"/>
    <x v="14"/>
    <x v="0"/>
    <d v="1899-12-30T01:02:59"/>
    <d v="1899-12-30T11:02:27"/>
    <d v="1899-12-30T18:00:19"/>
    <d v="1899-12-30T06:57:52"/>
    <d v="1899-12-30T07:12:00"/>
    <m/>
    <d v="1899-12-30T00:14:08"/>
    <n v="0.15072590938098276"/>
    <n v="0.96728395061728389"/>
  </r>
  <r>
    <x v="60"/>
    <x v="1"/>
    <x v="3"/>
    <x v="15"/>
    <x v="0"/>
    <d v="1899-12-30T00:59:51"/>
    <d v="1899-12-30T11:00:58"/>
    <d v="1899-12-30T18:00:48"/>
    <d v="1899-12-30T06:59:50"/>
    <d v="1899-12-30T07:12:00"/>
    <m/>
    <d v="1899-12-30T00:12:10"/>
    <n v="0.14255657006748712"/>
    <n v="0.97183641975308643"/>
  </r>
  <r>
    <x v="60"/>
    <x v="1"/>
    <x v="3"/>
    <x v="17"/>
    <x v="0"/>
    <d v="1899-12-30T00:54:46"/>
    <d v="1899-12-30T11:37:48"/>
    <d v="1899-12-30T18:01:00"/>
    <d v="1899-12-30T06:23:12"/>
    <d v="1899-12-30T07:12:00"/>
    <m/>
    <d v="1899-12-30T00:48:48"/>
    <n v="0.14291927627000697"/>
    <n v="0.88703703703703718"/>
  </r>
  <r>
    <x v="61"/>
    <x v="1"/>
    <x v="3"/>
    <x v="0"/>
    <x v="0"/>
    <d v="1899-12-30T01:08:04"/>
    <d v="1899-12-30T08:00:30"/>
    <d v="1899-12-30T15:12:46"/>
    <d v="1899-12-30T07:12:16"/>
    <d v="1899-12-30T07:12:00"/>
    <d v="1899-12-30T00:00:16"/>
    <m/>
    <n v="0.15746452806909311"/>
    <n v="1.0006172839506173"/>
  </r>
  <r>
    <x v="61"/>
    <x v="1"/>
    <x v="3"/>
    <x v="2"/>
    <x v="0"/>
    <d v="1899-12-30T00:53:56"/>
    <d v="1899-12-30T08:01:35"/>
    <d v="1899-12-30T15:42:33"/>
    <d v="1899-12-30T07:40:58"/>
    <d v="1899-12-30T07:12:00"/>
    <d v="1899-12-30T00:28:58"/>
    <m/>
    <n v="0.11700050618265966"/>
    <n v="1.0670524691358023"/>
  </r>
  <r>
    <x v="61"/>
    <x v="1"/>
    <x v="3"/>
    <x v="3"/>
    <x v="0"/>
    <d v="1899-12-30T01:13:40"/>
    <d v="1899-12-30T09:06:11"/>
    <d v="1899-12-30T15:12:27"/>
    <d v="1899-12-30T06:06:16"/>
    <d v="1899-12-30T07:12:00"/>
    <m/>
    <d v="1899-12-30T01:05:44"/>
    <n v="0.20112850382235165"/>
    <n v="0.84783950617283965"/>
  </r>
  <r>
    <x v="61"/>
    <x v="1"/>
    <x v="3"/>
    <x v="5"/>
    <x v="0"/>
    <d v="1899-12-30T01:05:41"/>
    <d v="1899-12-30T08:50:40"/>
    <d v="1899-12-30T17:12:41"/>
    <d v="1899-12-30T08:22:01"/>
    <d v="1899-12-30T07:12:00"/>
    <d v="1899-12-30T01:10:01"/>
    <m/>
    <n v="0.13083894957006739"/>
    <n v="1.1620756172839506"/>
  </r>
  <r>
    <x v="61"/>
    <x v="1"/>
    <x v="3"/>
    <x v="6"/>
    <x v="3"/>
    <d v="1899-12-30T00:54:12"/>
    <d v="1899-12-30T10:49:19"/>
    <d v="1899-12-30T18:01:07"/>
    <d v="1899-12-30T07:11:48"/>
    <d v="1899-12-30T07:12:00"/>
    <m/>
    <d v="1899-12-30T00:00:12"/>
    <n v="0.12552107457156092"/>
    <n v="0.999537037037037"/>
  </r>
  <r>
    <x v="61"/>
    <x v="1"/>
    <x v="3"/>
    <x v="7"/>
    <x v="0"/>
    <d v="1899-12-30T00:59:13"/>
    <d v="1899-12-30T07:59:52"/>
    <d v="1899-12-30T15:13:17"/>
    <d v="1899-12-30T07:13:25"/>
    <d v="1899-12-30T07:12:00"/>
    <d v="1899-12-30T00:01:25"/>
    <m/>
    <n v="0.13662757162084213"/>
    <n v="1.0032793209876545"/>
  </r>
  <r>
    <x v="61"/>
    <x v="1"/>
    <x v="3"/>
    <x v="20"/>
    <x v="3"/>
    <d v="1899-12-30T00:53:40"/>
    <d v="1899-12-30T10:52:50"/>
    <d v="1899-12-30T18:05:38"/>
    <d v="1899-12-30T07:12:48"/>
    <d v="1899-12-30T07:12:00"/>
    <d v="1899-12-30T00:00:48"/>
    <m/>
    <n v="0.1239987677141097"/>
    <n v="1.0018518518518518"/>
  </r>
  <r>
    <x v="61"/>
    <x v="1"/>
    <x v="3"/>
    <x v="10"/>
    <x v="3"/>
    <d v="1899-12-30T00:58:49"/>
    <d v="1899-12-30T08:53:25"/>
    <d v="1899-12-30T15:13:06"/>
    <d v="1899-12-30T06:19:41"/>
    <d v="1899-12-30T07:12:00"/>
    <m/>
    <d v="1899-12-30T00:52:19"/>
    <n v="0.15490979324875995"/>
    <n v="0.87889660493827149"/>
  </r>
  <r>
    <x v="61"/>
    <x v="1"/>
    <x v="3"/>
    <x v="11"/>
    <x v="4"/>
    <d v="1899-12-30T00:56:59"/>
    <d v="1899-12-30T08:10:46"/>
    <d v="1899-12-30T15:17:06"/>
    <d v="1899-12-30T07:06:20"/>
    <d v="1899-12-30T07:12:00"/>
    <m/>
    <d v="1899-12-30T00:05:40"/>
    <n v="0.13365910867865521"/>
    <n v="0.9868827160493826"/>
  </r>
  <r>
    <x v="61"/>
    <x v="1"/>
    <x v="3"/>
    <x v="14"/>
    <x v="0"/>
    <d v="1899-12-30T01:17:19"/>
    <d v="1899-12-30T10:57:40"/>
    <d v="1899-12-30T18:00:45"/>
    <d v="1899-12-30T07:03:05"/>
    <d v="1899-12-30T07:12:00"/>
    <m/>
    <d v="1899-12-30T00:08:55"/>
    <n v="0.18274571597400044"/>
    <n v="0.97935956790123446"/>
  </r>
  <r>
    <x v="61"/>
    <x v="1"/>
    <x v="3"/>
    <x v="15"/>
    <x v="0"/>
    <d v="1899-12-30T01:01:37"/>
    <d v="1899-12-30T10:48:51"/>
    <d v="1899-12-30T18:02:31"/>
    <d v="1899-12-30T07:13:40"/>
    <d v="1899-12-30T07:12:00"/>
    <d v="1899-12-30T00:01:40"/>
    <m/>
    <n v="0.14208301306687163"/>
    <n v="1.0038580246913582"/>
  </r>
  <r>
    <x v="61"/>
    <x v="1"/>
    <x v="3"/>
    <x v="17"/>
    <x v="0"/>
    <d v="1899-12-30T01:18:41"/>
    <d v="1899-12-30T11:32:57"/>
    <d v="1899-12-30T18:01:16"/>
    <d v="1899-12-30T06:28:19"/>
    <d v="1899-12-30T07:12:00"/>
    <m/>
    <d v="1899-12-30T00:43:41"/>
    <n v="0.20262672217691749"/>
    <n v="0.89888117283950619"/>
  </r>
  <r>
    <x v="61"/>
    <x v="1"/>
    <x v="3"/>
    <x v="18"/>
    <x v="0"/>
    <d v="1899-12-30T01:05:16"/>
    <d v="1899-12-30T08:54:41"/>
    <d v="1899-12-30T15:29:49"/>
    <d v="1899-12-30T06:35:08"/>
    <d v="1899-12-30T07:12:00"/>
    <m/>
    <d v="1899-12-30T00:36:52"/>
    <n v="0.16517631179348743"/>
    <n v="0.91466049382716041"/>
  </r>
  <r>
    <x v="62"/>
    <x v="1"/>
    <x v="3"/>
    <x v="0"/>
    <x v="0"/>
    <d v="1899-12-30T01:02:30"/>
    <d v="1899-12-30T08:00:40"/>
    <d v="1899-12-30T15:14:51"/>
    <d v="1899-12-30T07:14:11"/>
    <d v="1899-12-30T07:12:00"/>
    <d v="1899-12-30T00:02:11"/>
    <m/>
    <n v="0.14394840889025376"/>
    <n v="1.0050540123456788"/>
  </r>
  <r>
    <x v="62"/>
    <x v="1"/>
    <x v="3"/>
    <x v="1"/>
    <x v="0"/>
    <d v="1899-12-30T01:04:22"/>
    <d v="1899-12-30T13:37:10"/>
    <d v="1899-12-30T18:00:43"/>
    <d v="1899-12-30T04:23:33"/>
    <d v="1899-12-30T06:00:00"/>
    <m/>
    <d v="1899-12-30T01:36:27"/>
    <n v="0.24422943148042739"/>
    <n v="0.73208333333333364"/>
  </r>
  <r>
    <x v="62"/>
    <x v="1"/>
    <x v="3"/>
    <x v="2"/>
    <x v="0"/>
    <d v="1899-12-30T00:29:53"/>
    <d v="1899-12-30T08:05:56"/>
    <d v="1899-12-30T12:09:47"/>
    <d v="1899-12-30T04:03:51"/>
    <d v="1899-12-30T07:12:00"/>
    <m/>
    <d v="1899-12-30T03:08:09"/>
    <n v="0.12254801448978198"/>
    <n v="0.5644675925925926"/>
  </r>
  <r>
    <x v="62"/>
    <x v="1"/>
    <x v="3"/>
    <x v="3"/>
    <x v="0"/>
    <d v="1899-12-30T01:20:23"/>
    <d v="1899-12-30T08:04:17"/>
    <d v="1899-12-30T15:12:57"/>
    <d v="1899-12-30T07:08:40"/>
    <d v="1899-12-30T07:12:00"/>
    <m/>
    <d v="1899-12-30T00:03:20"/>
    <n v="0.18751944012441682"/>
    <n v="0.99228395061728392"/>
  </r>
  <r>
    <x v="62"/>
    <x v="1"/>
    <x v="3"/>
    <x v="5"/>
    <x v="0"/>
    <d v="1899-12-30T01:16:42"/>
    <d v="1899-12-30T08:00:52"/>
    <d v="1899-12-30T15:12:51"/>
    <d v="1899-12-30T07:11:59"/>
    <d v="1899-12-30T07:12:00"/>
    <m/>
    <d v="1899-12-30T00:00:01"/>
    <n v="0.17755314634052241"/>
    <n v="0.99996141975308639"/>
  </r>
  <r>
    <x v="62"/>
    <x v="1"/>
    <x v="3"/>
    <x v="6"/>
    <x v="3"/>
    <d v="1899-12-30T00:57:06"/>
    <d v="1899-12-30T10:48:07"/>
    <d v="1899-12-30T18:01:23"/>
    <d v="1899-12-30T07:13:16"/>
    <d v="1899-12-30T07:12:00"/>
    <d v="1899-12-30T00:01:16"/>
    <m/>
    <n v="0.13178950607785814"/>
    <n v="1.002932098765432"/>
  </r>
  <r>
    <x v="62"/>
    <x v="1"/>
    <x v="3"/>
    <x v="7"/>
    <x v="0"/>
    <d v="1899-12-30T01:09:03"/>
    <d v="1899-12-30T08:00:04"/>
    <d v="1899-12-30T15:12:32"/>
    <d v="1899-12-30T07:12:28"/>
    <d v="1899-12-30T07:12:00"/>
    <d v="1899-12-30T00:00:28"/>
    <m/>
    <n v="0.15966548481578546"/>
    <n v="1.0010802469135802"/>
  </r>
  <r>
    <x v="62"/>
    <x v="1"/>
    <x v="3"/>
    <x v="20"/>
    <x v="3"/>
    <d v="1899-12-30T01:25:21"/>
    <d v="1899-12-30T09:13:44"/>
    <d v="1899-12-30T18:00:43"/>
    <d v="1899-12-30T08:46:59"/>
    <d v="1899-12-30T07:12:00"/>
    <d v="1899-12-30T01:34:59"/>
    <m/>
    <n v="0.16195958126442958"/>
    <n v="1.2198688271604941"/>
  </r>
  <r>
    <x v="62"/>
    <x v="1"/>
    <x v="3"/>
    <x v="21"/>
    <x v="0"/>
    <d v="1899-12-30T00:58:29"/>
    <d v="1899-12-30T12:22:20"/>
    <d v="1899-12-30T18:03:09"/>
    <d v="1899-12-30T05:40:49"/>
    <d v="1899-12-30T07:12:00"/>
    <m/>
    <d v="1899-12-30T01:31:11"/>
    <n v="0.17159763313609469"/>
    <n v="0.78892746913580247"/>
  </r>
  <r>
    <x v="62"/>
    <x v="1"/>
    <x v="3"/>
    <x v="10"/>
    <x v="3"/>
    <d v="1899-12-30T01:01:11"/>
    <d v="1899-12-30T08:00:57"/>
    <d v="1899-12-30T15:13:34"/>
    <d v="1899-12-30T07:12:37"/>
    <d v="1899-12-30T07:12:00"/>
    <d v="1899-12-30T00:00:37"/>
    <m/>
    <n v="0.14142620487729704"/>
    <n v="1.0014274691358025"/>
  </r>
  <r>
    <x v="62"/>
    <x v="1"/>
    <x v="3"/>
    <x v="11"/>
    <x v="4"/>
    <d v="1899-12-30T00:42:40"/>
    <d v="1899-12-30T08:16:05"/>
    <d v="1899-12-30T15:24:31"/>
    <d v="1899-12-30T07:08:26"/>
    <d v="1899-12-30T07:12:00"/>
    <m/>
    <d v="1899-12-30T00:03:34"/>
    <n v="9.9587644907803641E-2"/>
    <n v="0.99174382716049381"/>
  </r>
  <r>
    <x v="62"/>
    <x v="1"/>
    <x v="3"/>
    <x v="14"/>
    <x v="0"/>
    <d v="1899-12-30T01:24:34"/>
    <d v="1899-12-30T10:51:03"/>
    <d v="1899-12-30T18:04:59"/>
    <d v="1899-12-30T07:13:56"/>
    <d v="1899-12-30T07:12:00"/>
    <d v="1899-12-30T00:01:56"/>
    <m/>
    <n v="0.19488400675987094"/>
    <n v="1.0044753086419753"/>
  </r>
  <r>
    <x v="62"/>
    <x v="1"/>
    <x v="3"/>
    <x v="15"/>
    <x v="0"/>
    <d v="1899-12-30T01:17:04"/>
    <d v="1899-12-30T11:06:17"/>
    <d v="1899-12-30T18:00:44"/>
    <d v="1899-12-30T06:54:27"/>
    <d v="1899-12-30T07:12:00"/>
    <m/>
    <d v="1899-12-30T00:17:33"/>
    <n v="0.18594925001005347"/>
    <n v="0.95937500000000009"/>
  </r>
  <r>
    <x v="62"/>
    <x v="1"/>
    <x v="3"/>
    <x v="17"/>
    <x v="0"/>
    <d v="1899-12-30T01:19:49"/>
    <d v="1899-12-30T11:27:28"/>
    <d v="1899-12-30T18:06:08"/>
    <d v="1899-12-30T06:38:40"/>
    <d v="1899-12-30T07:12:00"/>
    <m/>
    <d v="1899-12-30T00:33:20"/>
    <n v="0.20020903010033442"/>
    <n v="0.92283950617283972"/>
  </r>
  <r>
    <x v="62"/>
    <x v="1"/>
    <x v="3"/>
    <x v="18"/>
    <x v="0"/>
    <d v="1899-12-30T01:14:26"/>
    <d v="1899-12-30T08:09:33"/>
    <d v="1899-12-30T15:12:31"/>
    <d v="1899-12-30T07:02:58"/>
    <d v="1899-12-30T07:12:00"/>
    <m/>
    <d v="1899-12-30T00:09:02"/>
    <n v="0.17597919457798095"/>
    <n v="0.97908950617283941"/>
  </r>
  <r>
    <x v="63"/>
    <x v="1"/>
    <x v="3"/>
    <x v="0"/>
    <x v="0"/>
    <d v="1899-12-30T00:55:49"/>
    <d v="1899-12-30T08:00:48"/>
    <d v="1899-12-30T15:43:06"/>
    <d v="1899-12-30T07:42:18"/>
    <d v="1899-12-30T07:12:00"/>
    <d v="1899-12-30T00:30:18"/>
    <m/>
    <n v="0.12073689523397504"/>
    <n v="1.070138888888889"/>
  </r>
  <r>
    <x v="63"/>
    <x v="1"/>
    <x v="3"/>
    <x v="3"/>
    <x v="0"/>
    <d v="1899-12-30T01:16:06"/>
    <d v="1899-12-30T08:02:23"/>
    <d v="1899-12-30T15:14:25"/>
    <d v="1899-12-30T07:12:02"/>
    <d v="1899-12-30T07:12:00"/>
    <d v="1899-12-30T00:00:02"/>
    <m/>
    <n v="0.17614381606357535"/>
    <n v="1.0000771604938272"/>
  </r>
  <r>
    <x v="63"/>
    <x v="1"/>
    <x v="3"/>
    <x v="6"/>
    <x v="3"/>
    <d v="1899-12-30T00:51:01"/>
    <d v="1899-12-30T11:04:59"/>
    <d v="1899-12-30T18:00:31"/>
    <d v="1899-12-30T06:55:32"/>
    <d v="1899-12-30T07:12:00"/>
    <m/>
    <d v="1899-12-30T00:16:28"/>
    <n v="0.12277394513075564"/>
    <n v="0.9618827160493828"/>
  </r>
  <r>
    <x v="63"/>
    <x v="1"/>
    <x v="3"/>
    <x v="7"/>
    <x v="0"/>
    <d v="1899-12-30T00:49:28"/>
    <d v="1899-12-30T08:00:11"/>
    <d v="1899-12-30T15:13:43"/>
    <d v="1899-12-30T07:13:32"/>
    <d v="1899-12-30T07:12:00"/>
    <d v="1899-12-30T00:01:32"/>
    <m/>
    <n v="0.11410118406889126"/>
    <n v="1.0035493827160495"/>
  </r>
  <r>
    <x v="63"/>
    <x v="1"/>
    <x v="3"/>
    <x v="20"/>
    <x v="3"/>
    <d v="1899-12-30T00:57:51"/>
    <d v="1899-12-30T10:51:51"/>
    <d v="1899-12-30T18:01:26"/>
    <d v="1899-12-30T07:09:35"/>
    <d v="1899-12-30T07:12:00"/>
    <m/>
    <d v="1899-12-30T00:02:25"/>
    <n v="0.13466537342386034"/>
    <n v="0.99440586419753085"/>
  </r>
  <r>
    <x v="63"/>
    <x v="1"/>
    <x v="3"/>
    <x v="21"/>
    <x v="0"/>
    <d v="1899-12-30T00:43:46"/>
    <d v="1899-12-30T10:49:32"/>
    <d v="1899-12-30T18:00:40"/>
    <d v="1899-12-30T07:11:08"/>
    <d v="1899-12-30T07:12:00"/>
    <m/>
    <d v="1899-12-30T00:00:52"/>
    <n v="0.1015153858048554"/>
    <n v="0.99799382716049401"/>
  </r>
  <r>
    <x v="63"/>
    <x v="1"/>
    <x v="3"/>
    <x v="10"/>
    <x v="3"/>
    <d v="1899-12-30T01:08:07"/>
    <d v="1899-12-30T08:00:29"/>
    <d v="1899-12-30T15:12:31"/>
    <d v="1899-12-30T07:12:02"/>
    <d v="1899-12-30T07:12:00"/>
    <d v="1899-12-30T00:00:02"/>
    <m/>
    <n v="0.15766530360311706"/>
    <n v="1.0000771604938272"/>
  </r>
  <r>
    <x v="63"/>
    <x v="1"/>
    <x v="3"/>
    <x v="11"/>
    <x v="4"/>
    <d v="1899-12-30T01:15:44"/>
    <d v="1899-12-30T08:09:17"/>
    <d v="1899-12-30T15:16:01"/>
    <d v="1899-12-30T07:06:44"/>
    <d v="1899-12-30T07:12:00"/>
    <m/>
    <d v="1899-12-30T00:05:16"/>
    <n v="0.17747226995781909"/>
    <n v="0.98780864197530871"/>
  </r>
  <r>
    <x v="63"/>
    <x v="1"/>
    <x v="3"/>
    <x v="14"/>
    <x v="0"/>
    <d v="1899-12-30T01:26:26"/>
    <d v="1899-12-30T10:50:59"/>
    <d v="1899-12-30T18:01:25"/>
    <d v="1899-12-30T07:10:26"/>
    <d v="1899-12-30T07:12:00"/>
    <m/>
    <d v="1899-12-30T00:01:34"/>
    <n v="0.20080538991713776"/>
    <n v="0.99637345679012357"/>
  </r>
  <r>
    <x v="63"/>
    <x v="1"/>
    <x v="3"/>
    <x v="15"/>
    <x v="0"/>
    <d v="1899-12-30T00:57:39"/>
    <d v="1899-12-30T10:50:16"/>
    <d v="1899-12-30T18:00:46"/>
    <d v="1899-12-30T07:10:30"/>
    <d v="1899-12-30T07:12:00"/>
    <m/>
    <d v="1899-12-30T00:01:30"/>
    <n v="0.13391405342624851"/>
    <n v="0.99652777777777801"/>
  </r>
  <r>
    <x v="63"/>
    <x v="1"/>
    <x v="3"/>
    <x v="17"/>
    <x v="0"/>
    <d v="1899-12-30T01:14:16"/>
    <d v="1899-12-30T11:18:18"/>
    <d v="1899-12-30T18:01:06"/>
    <d v="1899-12-30T06:42:48"/>
    <d v="1899-12-30T07:12:00"/>
    <m/>
    <d v="1899-12-30T00:29:12"/>
    <n v="0.18437603442568687"/>
    <n v="0.93240740740740735"/>
  </r>
  <r>
    <x v="63"/>
    <x v="1"/>
    <x v="3"/>
    <x v="18"/>
    <x v="0"/>
    <d v="1899-12-30T00:59:31"/>
    <d v="1899-12-30T08:46:36"/>
    <d v="1899-12-30T15:13:08"/>
    <d v="1899-12-30T06:26:32"/>
    <d v="1899-12-30T07:12:00"/>
    <m/>
    <d v="1899-12-30T00:45:28"/>
    <n v="0.15397550879613658"/>
    <n v="0.89475308641975326"/>
  </r>
  <r>
    <x v="64"/>
    <x v="1"/>
    <x v="3"/>
    <x v="0"/>
    <x v="0"/>
    <d v="1899-12-30T00:37:42"/>
    <d v="1899-12-30T09:25:19"/>
    <d v="1899-12-30T15:12:51"/>
    <d v="1899-12-30T05:47:32"/>
    <d v="1899-12-30T07:12:00"/>
    <m/>
    <d v="1899-12-30T01:24:28"/>
    <n v="0.10847880299251872"/>
    <n v="0.80447530864197525"/>
  </r>
  <r>
    <x v="64"/>
    <x v="1"/>
    <x v="3"/>
    <x v="1"/>
    <x v="0"/>
    <d v="1899-12-30T01:17:00"/>
    <d v="1899-12-30T12:17:19"/>
    <d v="1899-12-30T18:01:02"/>
    <d v="1899-12-30T05:43:43"/>
    <d v="1899-12-30T06:00:00"/>
    <m/>
    <d v="1899-12-30T00:16:17"/>
    <n v="0.22402172331862474"/>
    <n v="0.95476851851851885"/>
  </r>
  <r>
    <x v="64"/>
    <x v="1"/>
    <x v="3"/>
    <x v="2"/>
    <x v="0"/>
    <d v="1899-12-30T00:48:04"/>
    <d v="1899-12-30T09:02:20"/>
    <d v="1899-12-30T17:25:17"/>
    <d v="1899-12-30T08:22:57"/>
    <d v="1899-12-30T07:12:00"/>
    <d v="1899-12-30T01:10:57"/>
    <m/>
    <n v="9.5569473440037092E-2"/>
    <n v="1.1642361111111112"/>
  </r>
  <r>
    <x v="64"/>
    <x v="1"/>
    <x v="3"/>
    <x v="3"/>
    <x v="0"/>
    <d v="1899-12-30T01:28:45"/>
    <d v="1899-12-30T07:57:54"/>
    <d v="1899-12-30T15:13:05"/>
    <d v="1899-12-30T07:15:11"/>
    <d v="1899-12-30T07:12:00"/>
    <d v="1899-12-30T00:03:11"/>
    <m/>
    <n v="0.20393703802994906"/>
    <n v="1.0073688271604939"/>
  </r>
  <r>
    <x v="64"/>
    <x v="1"/>
    <x v="3"/>
    <x v="5"/>
    <x v="0"/>
    <d v="1899-12-30T01:02:03"/>
    <d v="1899-12-30T08:01:18"/>
    <d v="1899-12-30T15:12:35"/>
    <d v="1899-12-30T07:11:17"/>
    <d v="1899-12-30T07:12:00"/>
    <m/>
    <d v="1899-12-30T00:00:43"/>
    <n v="0.14387293735749895"/>
    <n v="0.99834104938271595"/>
  </r>
  <r>
    <x v="64"/>
    <x v="1"/>
    <x v="3"/>
    <x v="6"/>
    <x v="3"/>
    <d v="1899-12-30T01:00:47"/>
    <d v="1899-12-30T10:26:37"/>
    <d v="1899-12-30T18:00:29"/>
    <d v="1899-12-30T07:33:52"/>
    <d v="1899-12-30T07:12:00"/>
    <d v="1899-12-30T00:21:52"/>
    <m/>
    <n v="0.13392332549941247"/>
    <n v="1.0506172839506174"/>
  </r>
  <r>
    <x v="64"/>
    <x v="1"/>
    <x v="3"/>
    <x v="7"/>
    <x v="0"/>
    <d v="1899-12-30T00:49:49"/>
    <d v="1899-12-30T07:58:16"/>
    <d v="1899-12-30T15:13:41"/>
    <d v="1899-12-30T07:15:25"/>
    <d v="1899-12-30T07:12:00"/>
    <d v="1899-12-30T00:03:25"/>
    <m/>
    <n v="0.11441148325358852"/>
    <n v="1.007908950617284"/>
  </r>
  <r>
    <x v="64"/>
    <x v="1"/>
    <x v="3"/>
    <x v="20"/>
    <x v="3"/>
    <d v="1899-12-30T01:00:21"/>
    <d v="1899-12-30T10:50:50"/>
    <d v="1899-12-30T18:01:02"/>
    <d v="1899-12-30T07:10:12"/>
    <d v="1899-12-30T07:12:00"/>
    <m/>
    <d v="1899-12-30T00:01:48"/>
    <n v="0.14028358902835891"/>
    <n v="0.99583333333333346"/>
  </r>
  <r>
    <x v="64"/>
    <x v="1"/>
    <x v="3"/>
    <x v="21"/>
    <x v="0"/>
    <d v="1899-12-30T00:40:37"/>
    <d v="1899-12-30T11:01:42"/>
    <d v="1899-12-30T18:00:55"/>
    <d v="1899-12-30T06:59:13"/>
    <d v="1899-12-30T07:12:00"/>
    <m/>
    <d v="1899-12-30T00:12:47"/>
    <n v="9.6887051246372216E-2"/>
    <n v="0.97040895061728383"/>
  </r>
  <r>
    <x v="64"/>
    <x v="1"/>
    <x v="3"/>
    <x v="10"/>
    <x v="3"/>
    <d v="1899-12-30T01:12:02"/>
    <d v="1899-12-30T08:02:08"/>
    <d v="1899-12-30T15:12:29"/>
    <d v="1899-12-30T07:10:21"/>
    <d v="1899-12-30T07:12:00"/>
    <m/>
    <d v="1899-12-30T00:01:39"/>
    <n v="0.16738313775609001"/>
    <n v="0.99618055555555551"/>
  </r>
  <r>
    <x v="64"/>
    <x v="1"/>
    <x v="3"/>
    <x v="11"/>
    <x v="4"/>
    <d v="1899-12-30T00:47:00"/>
    <d v="1899-12-30T08:06:16"/>
    <d v="1899-12-30T15:19:43"/>
    <d v="1899-12-30T07:13:27"/>
    <d v="1899-12-30T07:12:00"/>
    <d v="1899-12-30T00:01:27"/>
    <m/>
    <n v="0.10843234513784751"/>
    <n v="1.0033564814814815"/>
  </r>
  <r>
    <x v="64"/>
    <x v="1"/>
    <x v="3"/>
    <x v="15"/>
    <x v="0"/>
    <d v="1899-12-30T01:00:49"/>
    <d v="1899-12-30T10:47:28"/>
    <d v="1899-12-30T18:00:12"/>
    <d v="1899-12-30T07:12:44"/>
    <d v="1899-12-30T07:12:00"/>
    <d v="1899-12-30T00:00:44"/>
    <m/>
    <n v="0.1405407487290094"/>
    <n v="1.0016975308641975"/>
  </r>
  <r>
    <x v="64"/>
    <x v="1"/>
    <x v="3"/>
    <x v="18"/>
    <x v="0"/>
    <d v="1899-12-30T00:53:45"/>
    <d v="1899-12-30T08:47:20"/>
    <d v="1899-12-30T15:12:35"/>
    <d v="1899-12-30T06:25:15"/>
    <d v="1899-12-30T07:12:00"/>
    <m/>
    <d v="1899-12-30T00:46:45"/>
    <n v="0.13951979234263467"/>
    <n v="0.89178240740740733"/>
  </r>
  <r>
    <x v="65"/>
    <x v="1"/>
    <x v="3"/>
    <x v="1"/>
    <x v="0"/>
    <d v="1899-12-30T01:13:15"/>
    <d v="1899-12-30T12:15:40"/>
    <d v="1899-12-30T18:00:18"/>
    <d v="1899-12-30T05:44:38"/>
    <d v="1899-12-30T06:00:00"/>
    <m/>
    <d v="1899-12-30T00:15:22"/>
    <n v="0.21254473353322367"/>
    <n v="0.95731481481481495"/>
  </r>
  <r>
    <x v="65"/>
    <x v="1"/>
    <x v="3"/>
    <x v="2"/>
    <x v="0"/>
    <d v="1899-12-30T01:08:26"/>
    <d v="1899-12-30T08:07:34"/>
    <d v="1899-12-30T17:58:48"/>
    <d v="1899-12-30T09:51:14"/>
    <d v="1899-12-30T07:12:00"/>
    <d v="1899-12-30T02:39:14"/>
    <m/>
    <n v="0.11574674409426622"/>
    <n v="1.3685956790123457"/>
  </r>
  <r>
    <x v="65"/>
    <x v="1"/>
    <x v="3"/>
    <x v="3"/>
    <x v="0"/>
    <d v="1899-12-30T01:26:18"/>
    <d v="1899-12-30T08:03:14"/>
    <d v="1899-12-30T15:12:12"/>
    <d v="1899-12-30T07:08:58"/>
    <d v="1899-12-30T07:12:00"/>
    <m/>
    <d v="1899-12-30T00:03:02"/>
    <n v="0.20118113295516357"/>
    <n v="0.99297839506172847"/>
  </r>
  <r>
    <x v="65"/>
    <x v="1"/>
    <x v="3"/>
    <x v="5"/>
    <x v="0"/>
    <d v="1899-12-30T01:12:04"/>
    <d v="1899-12-30T08:02:30"/>
    <d v="1899-12-30T15:13:36"/>
    <d v="1899-12-30T07:11:06"/>
    <d v="1899-12-30T07:12:00"/>
    <m/>
    <d v="1899-12-30T00:00:54"/>
    <n v="0.16716925693961182"/>
    <n v="0.9979166666666669"/>
  </r>
  <r>
    <x v="65"/>
    <x v="1"/>
    <x v="3"/>
    <x v="6"/>
    <x v="3"/>
    <d v="1899-12-30T01:03:15"/>
    <d v="1899-12-30T10:47:25"/>
    <d v="1899-12-30T18:02:21"/>
    <d v="1899-12-30T07:14:56"/>
    <d v="1899-12-30T07:12:00"/>
    <d v="1899-12-30T00:02:56"/>
    <m/>
    <n v="0.14542458614347026"/>
    <n v="1.0067901234567902"/>
  </r>
  <r>
    <x v="65"/>
    <x v="1"/>
    <x v="3"/>
    <x v="7"/>
    <x v="0"/>
    <d v="1899-12-30T01:18:53"/>
    <d v="1899-12-30T07:59:38"/>
    <d v="1899-12-30T15:12:42"/>
    <d v="1899-12-30T07:13:04"/>
    <d v="1899-12-30T07:12:00"/>
    <d v="1899-12-30T00:01:04"/>
    <m/>
    <n v="0.18215055418719209"/>
    <n v="1.0024691358024693"/>
  </r>
  <r>
    <x v="65"/>
    <x v="1"/>
    <x v="3"/>
    <x v="20"/>
    <x v="3"/>
    <d v="1899-12-30T01:11:17"/>
    <d v="1899-12-30T09:04:04"/>
    <d v="1899-12-30T18:02:12"/>
    <d v="1899-12-30T08:58:08"/>
    <d v="1899-12-30T07:12:00"/>
    <d v="1899-12-30T01:46:08"/>
    <m/>
    <n v="0.13246407333994054"/>
    <n v="1.2456790123456791"/>
  </r>
  <r>
    <x v="65"/>
    <x v="1"/>
    <x v="3"/>
    <x v="21"/>
    <x v="0"/>
    <d v="1899-12-30T00:39:56"/>
    <d v="1899-12-30T10:59:08"/>
    <d v="1899-12-30T18:00:15"/>
    <d v="1899-12-30T07:01:07"/>
    <d v="1899-12-30T07:12:00"/>
    <m/>
    <d v="1899-12-30T00:10:53"/>
    <n v="9.482724502315272E-2"/>
    <n v="0.97480709876543226"/>
  </r>
  <r>
    <x v="65"/>
    <x v="1"/>
    <x v="3"/>
    <x v="10"/>
    <x v="3"/>
    <d v="1899-12-30T01:09:28"/>
    <d v="1899-12-30T09:35:06"/>
    <d v="1899-12-30T15:13:13"/>
    <d v="1899-12-30T05:38:07"/>
    <d v="1899-12-30T07:12:00"/>
    <m/>
    <d v="1899-12-30T01:33:53"/>
    <n v="0.20545176714151925"/>
    <n v="0.78267746913580238"/>
  </r>
  <r>
    <x v="65"/>
    <x v="1"/>
    <x v="3"/>
    <x v="11"/>
    <x v="4"/>
    <d v="1899-12-30T01:11:27"/>
    <d v="1899-12-30T08:09:56"/>
    <d v="1899-12-30T15:30:35"/>
    <d v="1899-12-30T07:20:39"/>
    <d v="1899-12-30T07:12:00"/>
    <d v="1899-12-30T00:08:39"/>
    <m/>
    <n v="0.1621468285487348"/>
    <n v="1.0200231481481483"/>
  </r>
  <r>
    <x v="65"/>
    <x v="1"/>
    <x v="3"/>
    <x v="15"/>
    <x v="0"/>
    <d v="1899-12-30T01:02:56"/>
    <d v="1899-12-30T10:49:56"/>
    <d v="1899-12-30T18:00:15"/>
    <d v="1899-12-30T07:10:19"/>
    <d v="1899-12-30T07:12:00"/>
    <m/>
    <d v="1899-12-30T00:01:41"/>
    <n v="0.1462488864789496"/>
    <n v="0.99610339506172862"/>
  </r>
  <r>
    <x v="65"/>
    <x v="1"/>
    <x v="3"/>
    <x v="18"/>
    <x v="0"/>
    <d v="1899-12-30T01:28:16"/>
    <d v="1899-12-30T07:59:08"/>
    <d v="1899-12-30T16:00:18"/>
    <d v="1899-12-30T08:01:10"/>
    <d v="1899-12-30T07:12:00"/>
    <d v="1899-12-30T00:49:10"/>
    <m/>
    <n v="0.1834430204364392"/>
    <n v="1.1138117283950619"/>
  </r>
  <r>
    <x v="66"/>
    <x v="1"/>
    <x v="3"/>
    <x v="0"/>
    <x v="0"/>
    <d v="1899-12-30T01:04:43"/>
    <d v="1899-12-30T08:00:33"/>
    <d v="1899-12-30T18:00:20"/>
    <d v="1899-12-30T09:59:47"/>
    <d v="1899-12-30T07:12:00"/>
    <d v="1899-12-30T02:47:47"/>
    <m/>
    <n v="0.10790007502709313"/>
    <n v="1.3883873456790123"/>
  </r>
  <r>
    <x v="66"/>
    <x v="1"/>
    <x v="3"/>
    <x v="1"/>
    <x v="0"/>
    <d v="1899-12-30T01:19:51"/>
    <d v="1899-12-30T12:13:57"/>
    <d v="1899-12-30T18:00:16"/>
    <d v="1899-12-30T05:46:19"/>
    <d v="1899-12-30T06:00:00"/>
    <m/>
    <d v="1899-12-30T00:13:41"/>
    <n v="0.23056932479907596"/>
    <n v="0.96199074074074087"/>
  </r>
  <r>
    <x v="66"/>
    <x v="1"/>
    <x v="3"/>
    <x v="2"/>
    <x v="0"/>
    <d v="1899-12-30T00:50:22"/>
    <d v="1899-12-30T08:08:10"/>
    <d v="1899-12-30T17:59:49"/>
    <d v="1899-12-30T09:51:39"/>
    <d v="1899-12-30T07:12:00"/>
    <d v="1899-12-30T02:39:39"/>
    <m/>
    <n v="8.512915856784696E-2"/>
    <n v="1.3695601851851855"/>
  </r>
  <r>
    <x v="66"/>
    <x v="1"/>
    <x v="3"/>
    <x v="3"/>
    <x v="0"/>
    <d v="1899-12-30T01:19:11"/>
    <d v="1899-12-30T08:01:08"/>
    <d v="1899-12-30T15:12:16"/>
    <d v="1899-12-30T07:11:08"/>
    <d v="1899-12-30T07:12:00"/>
    <m/>
    <d v="1899-12-30T00:00:52"/>
    <n v="0.18366321323643112"/>
    <n v="0.99799382716049378"/>
  </r>
  <r>
    <x v="66"/>
    <x v="1"/>
    <x v="3"/>
    <x v="5"/>
    <x v="0"/>
    <d v="1899-12-30T01:09:42"/>
    <d v="1899-12-30T08:01:31"/>
    <d v="1899-12-30T17:12:23"/>
    <d v="1899-12-30T09:10:52"/>
    <d v="1899-12-30T07:12:00"/>
    <d v="1899-12-30T01:58:52"/>
    <m/>
    <n v="0.12652789543749246"/>
    <n v="1.2751543209876544"/>
  </r>
  <r>
    <x v="66"/>
    <x v="1"/>
    <x v="3"/>
    <x v="6"/>
    <x v="3"/>
    <d v="1899-12-30T00:55:01"/>
    <d v="1899-12-30T10:44:36"/>
    <d v="1899-12-30T18:00:46"/>
    <d v="1899-12-30T07:16:10"/>
    <d v="1899-12-30T07:12:00"/>
    <d v="1899-12-30T00:04:10"/>
    <m/>
    <n v="0.12613679786014517"/>
    <n v="1.0096450617283954"/>
  </r>
  <r>
    <x v="66"/>
    <x v="1"/>
    <x v="3"/>
    <x v="7"/>
    <x v="0"/>
    <d v="1899-12-30T00:47:05"/>
    <d v="1899-12-30T07:59:29"/>
    <d v="1899-12-30T15:12:56"/>
    <d v="1899-12-30T07:13:27"/>
    <d v="1899-12-30T07:12:00"/>
    <d v="1899-12-30T00:01:27"/>
    <m/>
    <n v="0.10862460106894298"/>
    <n v="1.0033564814814815"/>
  </r>
  <r>
    <x v="66"/>
    <x v="1"/>
    <x v="3"/>
    <x v="20"/>
    <x v="3"/>
    <d v="1899-12-30T01:07:29"/>
    <d v="1899-12-30T10:48:33"/>
    <d v="1899-12-30T18:00:23"/>
    <d v="1899-12-30T07:11:50"/>
    <d v="1899-12-30T07:12:00"/>
    <m/>
    <d v="1899-12-30T00:00:10"/>
    <n v="0.15627170976456969"/>
    <n v="0.99961419753086411"/>
  </r>
  <r>
    <x v="66"/>
    <x v="1"/>
    <x v="3"/>
    <x v="21"/>
    <x v="0"/>
    <d v="1899-12-30T00:43:54"/>
    <d v="1899-12-30T10:49:16"/>
    <d v="1899-12-30T18:00:16"/>
    <d v="1899-12-30T07:11:00"/>
    <d v="1899-12-30T07:12:00"/>
    <m/>
    <d v="1899-12-30T00:01:00"/>
    <n v="0.10185614849187935"/>
    <n v="0.99768518518518523"/>
  </r>
  <r>
    <x v="66"/>
    <x v="1"/>
    <x v="3"/>
    <x v="11"/>
    <x v="4"/>
    <d v="1899-12-30T00:51:09"/>
    <d v="1899-12-30T08:08:47"/>
    <d v="1899-12-30T15:14:26"/>
    <d v="1899-12-30T07:05:39"/>
    <d v="1899-12-30T07:12:00"/>
    <m/>
    <d v="1899-12-30T00:06:21"/>
    <n v="0.12016915306002582"/>
    <n v="0.98530092592592622"/>
  </r>
  <r>
    <x v="66"/>
    <x v="1"/>
    <x v="3"/>
    <x v="18"/>
    <x v="0"/>
    <d v="1899-12-30T01:06:14"/>
    <d v="1899-12-30T08:01:07"/>
    <d v="1899-12-30T15:45:10"/>
    <d v="1899-12-30T07:44:03"/>
    <d v="1899-12-30T07:12:00"/>
    <d v="1899-12-30T00:32:03"/>
    <m/>
    <n v="0.1427288726071185"/>
    <n v="1.0741898148148148"/>
  </r>
  <r>
    <x v="67"/>
    <x v="1"/>
    <x v="3"/>
    <x v="0"/>
    <x v="0"/>
    <d v="1899-12-30T01:13:31"/>
    <d v="1899-12-30T08:04:46"/>
    <d v="1899-12-30T17:16:57"/>
    <d v="1899-12-30T09:12:11"/>
    <d v="1899-12-30T07:12:00"/>
    <d v="1899-12-30T02:00:11"/>
    <m/>
    <n v="0.13313814856176995"/>
    <n v="1.2782021604938272"/>
  </r>
  <r>
    <x v="67"/>
    <x v="1"/>
    <x v="3"/>
    <x v="1"/>
    <x v="0"/>
    <d v="1899-12-30T00:53:00"/>
    <d v="1899-12-30T12:23:00"/>
    <d v="1899-12-30T18:00:39"/>
    <d v="1899-12-30T05:37:39"/>
    <d v="1899-12-30T06:00:00"/>
    <m/>
    <d v="1899-12-30T00:22:21"/>
    <n v="0.15696727380423522"/>
    <n v="0.93791666666666629"/>
  </r>
  <r>
    <x v="67"/>
    <x v="1"/>
    <x v="3"/>
    <x v="2"/>
    <x v="0"/>
    <d v="1899-12-30T00:53:36"/>
    <d v="1899-12-30T08:03:53"/>
    <d v="1899-12-30T16:19:09"/>
    <d v="1899-12-30T08:15:16"/>
    <d v="1899-12-30T07:12:00"/>
    <d v="1899-12-30T01:03:16"/>
    <m/>
    <n v="0.10822452550814374"/>
    <n v="1.1464506172839508"/>
  </r>
  <r>
    <x v="67"/>
    <x v="1"/>
    <x v="3"/>
    <x v="3"/>
    <x v="0"/>
    <d v="1899-12-30T01:06:54"/>
    <d v="1899-12-30T08:00:55"/>
    <d v="1899-12-30T15:12:22"/>
    <d v="1899-12-30T07:11:27"/>
    <d v="1899-12-30T07:12:00"/>
    <m/>
    <d v="1899-12-30T00:00:33"/>
    <n v="0.15505852358326572"/>
    <n v="0.99872685185185184"/>
  </r>
  <r>
    <x v="67"/>
    <x v="1"/>
    <x v="3"/>
    <x v="5"/>
    <x v="0"/>
    <d v="1899-12-30T01:06:13"/>
    <d v="1899-12-30T08:04:06"/>
    <d v="1899-12-30T15:33:02"/>
    <d v="1899-12-30T07:28:56"/>
    <d v="1899-12-30T07:12:00"/>
    <d v="1899-12-30T00:16:56"/>
    <m/>
    <n v="0.14749777249777249"/>
    <n v="1.0391975308641974"/>
  </r>
  <r>
    <x v="67"/>
    <x v="1"/>
    <x v="3"/>
    <x v="6"/>
    <x v="3"/>
    <d v="1899-12-30T00:54:45"/>
    <d v="1899-12-30T10:48:52"/>
    <d v="1899-12-30T18:00:35"/>
    <d v="1899-12-30T07:11:43"/>
    <d v="1899-12-30T07:12:00"/>
    <m/>
    <d v="1899-12-30T00:00:17"/>
    <n v="0.1268192873412346"/>
    <n v="0.99934413580246906"/>
  </r>
  <r>
    <x v="67"/>
    <x v="1"/>
    <x v="3"/>
    <x v="7"/>
    <x v="0"/>
    <d v="1899-12-30T00:51:51"/>
    <d v="1899-12-30T07:59:46"/>
    <d v="1899-12-30T15:12:31"/>
    <d v="1899-12-30T07:12:45"/>
    <d v="1899-12-30T07:12:00"/>
    <d v="1899-12-30T00:00:45"/>
    <m/>
    <n v="0.11981513575967649"/>
    <n v="1.0017361111111112"/>
  </r>
  <r>
    <x v="67"/>
    <x v="1"/>
    <x v="3"/>
    <x v="21"/>
    <x v="0"/>
    <d v="1899-12-30T00:40:21"/>
    <d v="1899-12-30T11:00:22"/>
    <d v="1899-12-30T18:00:22"/>
    <d v="1899-12-30T07:00:00"/>
    <d v="1899-12-30T07:12:00"/>
    <m/>
    <d v="1899-12-30T00:12:00"/>
    <n v="9.6071428571428558E-2"/>
    <n v="0.97222222222222232"/>
  </r>
  <r>
    <x v="67"/>
    <x v="1"/>
    <x v="3"/>
    <x v="10"/>
    <x v="3"/>
    <d v="1899-12-30T01:05:31"/>
    <d v="1899-12-30T08:01:57"/>
    <d v="1899-12-30T16:12:46"/>
    <d v="1899-12-30T08:10:49"/>
    <d v="1899-12-30T07:12:00"/>
    <d v="1899-12-30T00:58:49"/>
    <m/>
    <n v="0.13348500797989746"/>
    <n v="1.1361496913580247"/>
  </r>
  <r>
    <x v="67"/>
    <x v="1"/>
    <x v="3"/>
    <x v="11"/>
    <x v="4"/>
    <d v="1899-12-30T00:44:45"/>
    <d v="1899-12-30T08:03:37"/>
    <d v="1899-12-30T15:15:25"/>
    <d v="1899-12-30T07:11:48"/>
    <d v="1899-12-30T07:12:00"/>
    <m/>
    <d v="1899-12-30T00:00:12"/>
    <n v="0.10363594256600279"/>
    <n v="0.999537037037037"/>
  </r>
  <r>
    <x v="67"/>
    <x v="1"/>
    <x v="3"/>
    <x v="18"/>
    <x v="0"/>
    <d v="1899-12-30T00:59:55"/>
    <d v="1899-12-30T08:10:57"/>
    <d v="1899-12-30T15:12:55"/>
    <d v="1899-12-30T07:01:58"/>
    <d v="1899-12-30T07:12:00"/>
    <m/>
    <d v="1899-12-30T00:10:02"/>
    <n v="0.14199383837585905"/>
    <n v="0.97677469135802486"/>
  </r>
  <r>
    <x v="68"/>
    <x v="1"/>
    <x v="3"/>
    <x v="0"/>
    <x v="0"/>
    <d v="1899-12-30T01:09:02"/>
    <d v="1899-12-30T08:00:48"/>
    <d v="1899-12-30T16:20:37"/>
    <d v="1899-12-30T08:19:49"/>
    <d v="1899-12-30T07:12:00"/>
    <d v="1899-12-30T01:07:49"/>
    <m/>
    <n v="0.13811730968021607"/>
    <n v="1.1569830246913582"/>
  </r>
  <r>
    <x v="68"/>
    <x v="1"/>
    <x v="3"/>
    <x v="2"/>
    <x v="0"/>
    <d v="1899-12-30T00:39:21"/>
    <d v="1899-12-30T09:41:00"/>
    <d v="1899-12-30T17:08:33"/>
    <d v="1899-12-30T07:27:33"/>
    <d v="1899-12-30T07:12:00"/>
    <d v="1899-12-30T00:15:33"/>
    <m/>
    <n v="8.7923137079655919E-2"/>
    <n v="1.0359953703703704"/>
  </r>
  <r>
    <x v="68"/>
    <x v="1"/>
    <x v="3"/>
    <x v="3"/>
    <x v="0"/>
    <d v="1899-12-30T01:08:22"/>
    <d v="1899-12-30T08:03:48"/>
    <d v="1899-12-30T15:12:26"/>
    <d v="1899-12-30T07:08:38"/>
    <d v="1899-12-30T07:12:00"/>
    <m/>
    <d v="1899-12-30T00:03:22"/>
    <n v="0.15949918345127923"/>
    <n v="0.99220679012345703"/>
  </r>
  <r>
    <x v="68"/>
    <x v="1"/>
    <x v="3"/>
    <x v="5"/>
    <x v="0"/>
    <d v="1899-12-30T01:12:07"/>
    <d v="1899-12-30T08:20:12"/>
    <d v="1899-12-30T17:01:07"/>
    <d v="1899-12-30T08:40:55"/>
    <d v="1899-12-30T07:12:00"/>
    <d v="1899-12-30T01:28:55"/>
    <m/>
    <n v="0.13844184930411135"/>
    <n v="1.2058256172839508"/>
  </r>
  <r>
    <x v="68"/>
    <x v="1"/>
    <x v="3"/>
    <x v="6"/>
    <x v="3"/>
    <d v="1899-12-30T01:01:04"/>
    <d v="1899-12-30T10:49:39"/>
    <d v="1899-12-30T18:00:53"/>
    <d v="1899-12-30T07:11:14"/>
    <d v="1899-12-30T07:12:00"/>
    <m/>
    <d v="1899-12-30T00:00:46"/>
    <n v="0.14160933755893948"/>
    <n v="0.99822530864197534"/>
  </r>
  <r>
    <x v="68"/>
    <x v="1"/>
    <x v="3"/>
    <x v="7"/>
    <x v="0"/>
    <d v="1899-12-30T00:52:11"/>
    <d v="1899-12-30T07:59:33"/>
    <d v="1899-12-30T15:12:55"/>
    <d v="1899-12-30T07:13:22"/>
    <d v="1899-12-30T07:12:00"/>
    <d v="1899-12-30T00:01:22"/>
    <m/>
    <n v="0.1204138143219752"/>
    <n v="1.0031635802469139"/>
  </r>
  <r>
    <x v="68"/>
    <x v="1"/>
    <x v="3"/>
    <x v="20"/>
    <x v="3"/>
    <d v="1899-12-30T01:20:21"/>
    <d v="1899-12-30T10:49:27"/>
    <d v="1899-12-30T18:00:44"/>
    <d v="1899-12-30T07:11:17"/>
    <d v="1899-12-30T07:12:00"/>
    <m/>
    <d v="1899-12-30T00:00:43"/>
    <n v="0.18630444023650344"/>
    <n v="0.99834104938271606"/>
  </r>
  <r>
    <x v="68"/>
    <x v="1"/>
    <x v="3"/>
    <x v="21"/>
    <x v="0"/>
    <d v="1899-12-30T00:39:38"/>
    <d v="1899-12-30T10:49:18"/>
    <d v="1899-12-30T18:00:27"/>
    <d v="1899-12-30T07:11:09"/>
    <d v="1899-12-30T07:12:00"/>
    <m/>
    <d v="1899-12-30T00:00:51"/>
    <n v="9.1924697514399453E-2"/>
    <n v="0.99803240740740762"/>
  </r>
  <r>
    <x v="68"/>
    <x v="1"/>
    <x v="3"/>
    <x v="10"/>
    <x v="3"/>
    <d v="1899-12-30T01:13:07"/>
    <d v="1899-12-30T07:58:52"/>
    <d v="1899-12-30T15:42:37"/>
    <d v="1899-12-30T07:43:45"/>
    <d v="1899-12-30T07:12:00"/>
    <d v="1899-12-30T00:31:45"/>
    <m/>
    <n v="0.15766397124887688"/>
    <n v="1.0734953703703707"/>
  </r>
  <r>
    <x v="68"/>
    <x v="1"/>
    <x v="3"/>
    <x v="11"/>
    <x v="4"/>
    <d v="1899-12-30T00:56:15"/>
    <d v="1899-12-30T08:05:10"/>
    <d v="1899-12-30T15:16:23"/>
    <d v="1899-12-30T07:11:13"/>
    <d v="1899-12-30T07:12:00"/>
    <m/>
    <d v="1899-12-30T00:00:47"/>
    <n v="0.13044486530359833"/>
    <n v="0.99818672839506184"/>
  </r>
  <r>
    <x v="68"/>
    <x v="1"/>
    <x v="3"/>
    <x v="18"/>
    <x v="0"/>
    <d v="1899-12-30T01:01:43"/>
    <d v="1899-12-30T07:59:45"/>
    <d v="1899-12-30T16:21:12"/>
    <d v="1899-12-30T08:21:27"/>
    <d v="1899-12-30T07:12:00"/>
    <d v="1899-12-30T01:09:27"/>
    <m/>
    <n v="0.12307641173928939"/>
    <n v="1.1607638888888892"/>
  </r>
  <r>
    <x v="69"/>
    <x v="1"/>
    <x v="3"/>
    <x v="0"/>
    <x v="0"/>
    <d v="1899-12-30T01:02:20"/>
    <d v="1899-12-30T09:46:52"/>
    <d v="1899-12-30T17:17:34"/>
    <d v="1899-12-30T07:30:42"/>
    <d v="1899-12-30T07:12:00"/>
    <d v="1899-12-30T00:18:42"/>
    <m/>
    <n v="0.13830337992752012"/>
    <n v="1.0432870370370371"/>
  </r>
  <r>
    <x v="70"/>
    <x v="1"/>
    <x v="3"/>
    <x v="0"/>
    <x v="0"/>
    <d v="1899-12-30T01:09:45"/>
    <d v="1899-12-30T08:01:13"/>
    <d v="1899-12-30T15:15:44"/>
    <d v="1899-12-30T07:14:31"/>
    <d v="1899-12-30T07:12:00"/>
    <d v="1899-12-30T00:02:31"/>
    <m/>
    <n v="0.16052318668252083"/>
    <n v="1.0058256172839506"/>
  </r>
  <r>
    <x v="71"/>
    <x v="1"/>
    <x v="3"/>
    <x v="0"/>
    <x v="0"/>
    <d v="1899-12-30T01:15:23"/>
    <d v="1899-12-30T08:13:42"/>
    <d v="1899-12-30T17:05:11"/>
    <d v="1899-12-30T08:51:29"/>
    <d v="1899-12-30T07:12:00"/>
    <d v="1899-12-30T01:39:29"/>
    <m/>
    <n v="0.14183574273260374"/>
    <n v="1.2302854938271603"/>
  </r>
  <r>
    <x v="72"/>
    <x v="1"/>
    <x v="3"/>
    <x v="0"/>
    <x v="0"/>
    <d v="1899-12-30T01:09:42"/>
    <d v="1899-12-30T08:00:57"/>
    <d v="1899-12-30T15:12:31"/>
    <d v="1899-12-30T07:11:34"/>
    <d v="1899-12-30T07:12:00"/>
    <m/>
    <d v="1899-12-30T00:00:26"/>
    <n v="0.16150459565922606"/>
    <n v="0.998996913580247"/>
  </r>
  <r>
    <x v="73"/>
    <x v="1"/>
    <x v="3"/>
    <x v="0"/>
    <x v="0"/>
    <d v="1899-12-30T01:01:34"/>
    <d v="1899-12-30T08:00:00"/>
    <d v="1899-12-30T15:12:13"/>
    <d v="1899-12-30T07:12:13"/>
    <d v="1899-12-30T07:12:00"/>
    <d v="1899-12-30T00:00:13"/>
    <m/>
    <n v="0.14244399028265145"/>
    <n v="1.0005015432098765"/>
  </r>
  <r>
    <x v="74"/>
    <x v="1"/>
    <x v="3"/>
    <x v="0"/>
    <x v="0"/>
    <d v="1899-12-30T01:12:17"/>
    <d v="1899-12-30T08:01:02"/>
    <d v="1899-12-30T15:12:53"/>
    <d v="1899-12-30T07:11:51"/>
    <d v="1899-12-30T07:12:00"/>
    <m/>
    <d v="1899-12-30T00:00:09"/>
    <n v="0.16738064914515072"/>
    <n v="0.99965277777777772"/>
  </r>
  <r>
    <x v="75"/>
    <x v="1"/>
    <x v="3"/>
    <x v="0"/>
    <x v="0"/>
    <d v="1899-12-30T00:59:59"/>
    <d v="1899-12-30T08:04:42"/>
    <d v="1899-12-30T15:13:52"/>
    <d v="1899-12-30T07:09:10"/>
    <d v="1899-12-30T07:12:00"/>
    <m/>
    <d v="1899-12-30T00:02:50"/>
    <n v="0.13976699029126211"/>
    <n v="0.99344135802469147"/>
  </r>
  <r>
    <x v="76"/>
    <x v="1"/>
    <x v="3"/>
    <x v="0"/>
    <x v="0"/>
    <d v="1899-12-30T01:01:37"/>
    <d v="1899-12-30T08:00:48"/>
    <d v="1899-12-30T16:48:56"/>
    <d v="1899-12-30T08:48:08"/>
    <d v="1899-12-30T07:12:00"/>
    <d v="1899-12-30T01:36:08"/>
    <m/>
    <n v="0.11666877051249684"/>
    <n v="1.2225308641975308"/>
  </r>
  <r>
    <x v="77"/>
    <x v="1"/>
    <x v="3"/>
    <x v="0"/>
    <x v="0"/>
    <d v="1899-12-30T01:13:55"/>
    <d v="1899-12-30T08:00:36"/>
    <d v="1899-12-30T15:12:33"/>
    <d v="1899-12-30T07:11:57"/>
    <d v="1899-12-30T07:12:00"/>
    <m/>
    <d v="1899-12-30T00:00:03"/>
    <n v="0.17112320098776862"/>
    <n v="0.99988425925925939"/>
  </r>
  <r>
    <x v="78"/>
    <x v="1"/>
    <x v="3"/>
    <x v="0"/>
    <x v="0"/>
    <d v="1899-12-30T01:13:54"/>
    <d v="1899-12-30T08:00:27"/>
    <d v="1899-12-30T15:24:41"/>
    <d v="1899-12-30T07:24:14"/>
    <d v="1899-12-30T07:12:00"/>
    <d v="1899-12-30T00:12:14"/>
    <m/>
    <n v="0.1663540181586253"/>
    <n v="1.0283179012345682"/>
  </r>
  <r>
    <x v="79"/>
    <x v="1"/>
    <x v="4"/>
    <x v="0"/>
    <x v="0"/>
    <d v="1899-12-30T01:03:14"/>
    <d v="1899-12-30T08:04:14"/>
    <d v="1899-12-30T15:12:28"/>
    <d v="1899-12-30T07:08:14"/>
    <d v="1899-12-30T07:12:00"/>
    <m/>
    <d v="1899-12-30T00:03:46"/>
    <n v="0.14766093251342724"/>
    <n v="0.99128086419753092"/>
  </r>
  <r>
    <x v="80"/>
    <x v="1"/>
    <x v="4"/>
    <x v="0"/>
    <x v="0"/>
    <d v="1899-12-30T00:54:50"/>
    <d v="1899-12-30T08:01:31"/>
    <d v="1899-12-30T15:13:05"/>
    <d v="1899-12-30T07:11:34"/>
    <d v="1899-12-30T07:12:00"/>
    <m/>
    <d v="1899-12-30T00:00:26"/>
    <n v="0.12705646095620607"/>
    <n v="0.998996913580247"/>
  </r>
  <r>
    <x v="81"/>
    <x v="1"/>
    <x v="4"/>
    <x v="0"/>
    <x v="0"/>
    <d v="1899-12-30T00:59:27"/>
    <d v="1899-12-30T08:00:35"/>
    <d v="1899-12-30T15:24:22"/>
    <d v="1899-12-30T07:23:47"/>
    <d v="1899-12-30T07:12:00"/>
    <d v="1899-12-30T00:11:47"/>
    <m/>
    <n v="0.1339617681300935"/>
    <n v="1.0272762345679014"/>
  </r>
  <r>
    <x v="82"/>
    <x v="1"/>
    <x v="4"/>
    <x v="0"/>
    <x v="0"/>
    <d v="1899-12-30T01:12:40"/>
    <d v="1899-12-30T08:00:00"/>
    <d v="1899-12-30T17:12:01"/>
    <d v="1899-12-30T09:12:01"/>
    <d v="1899-12-30T07:12:00"/>
    <d v="1899-12-30T02:00:01"/>
    <m/>
    <n v="0.13163853748377163"/>
    <n v="1.2778163580246913"/>
  </r>
  <r>
    <x v="83"/>
    <x v="1"/>
    <x v="4"/>
    <x v="0"/>
    <x v="0"/>
    <d v="1899-12-30T01:24:46"/>
    <d v="1899-12-30T08:00:29"/>
    <d v="1899-12-30T15:51:46"/>
    <d v="1899-12-30T07:51:17"/>
    <d v="1899-12-30T07:12:00"/>
    <d v="1899-12-30T00:39:17"/>
    <m/>
    <n v="0.17986349329844042"/>
    <n v="1.0909336419753088"/>
  </r>
  <r>
    <x v="84"/>
    <x v="1"/>
    <x v="4"/>
    <x v="0"/>
    <x v="0"/>
    <d v="1899-12-30T01:05:46"/>
    <d v="1899-12-30T08:00:36"/>
    <d v="1899-12-30T15:12:33"/>
    <d v="1899-12-30T07:11:57"/>
    <d v="1899-12-30T07:12:00"/>
    <m/>
    <d v="1899-12-30T00:00:03"/>
    <n v="0.15225527645946674"/>
    <n v="0.99988425925925939"/>
  </r>
  <r>
    <x v="85"/>
    <x v="1"/>
    <x v="4"/>
    <x v="0"/>
    <x v="0"/>
    <d v="1899-12-30T01:03:53"/>
    <d v="1899-12-30T08:21:20"/>
    <d v="1899-12-30T16:20:43"/>
    <d v="1899-12-30T07:59:23"/>
    <d v="1899-12-30T07:12:00"/>
    <d v="1899-12-30T00:47:23"/>
    <m/>
    <n v="0.13326148176476724"/>
    <n v="1.1096836419753084"/>
  </r>
  <r>
    <x v="86"/>
    <x v="1"/>
    <x v="4"/>
    <x v="0"/>
    <x v="0"/>
    <d v="1899-12-30T01:02:10"/>
    <d v="1899-12-30T08:00:47"/>
    <d v="1899-12-30T15:12:46"/>
    <d v="1899-12-30T07:11:59"/>
    <d v="1899-12-30T07:12:00"/>
    <m/>
    <d v="1899-12-30T00:00:01"/>
    <n v="0.14390987306609052"/>
    <n v="0.9999614197530865"/>
  </r>
  <r>
    <x v="87"/>
    <x v="1"/>
    <x v="4"/>
    <x v="0"/>
    <x v="0"/>
    <d v="1899-12-30T01:03:35"/>
    <d v="1899-12-30T08:02:19"/>
    <d v="1899-12-30T15:13:52"/>
    <d v="1899-12-30T07:11:33"/>
    <d v="1899-12-30T07:12:00"/>
    <m/>
    <d v="1899-12-30T00:00:27"/>
    <n v="0.14733711814003783"/>
    <n v="0.9989583333333335"/>
  </r>
  <r>
    <x v="88"/>
    <x v="1"/>
    <x v="4"/>
    <x v="0"/>
    <x v="0"/>
    <d v="1899-12-30T01:02:06"/>
    <d v="1899-12-30T08:01:03"/>
    <d v="1899-12-30T15:13:03"/>
    <d v="1899-12-30T07:12:00"/>
    <d v="1899-12-30T07:12:00"/>
    <m/>
    <d v="1899-12-30T00:00:00"/>
    <n v="0.14374999999999999"/>
    <n v="1"/>
  </r>
  <r>
    <x v="89"/>
    <x v="1"/>
    <x v="4"/>
    <x v="0"/>
    <x v="0"/>
    <d v="1899-12-30T01:04:45"/>
    <d v="1899-12-30T09:05:24"/>
    <d v="1899-12-30T16:15:30"/>
    <d v="1899-12-30T07:10:06"/>
    <d v="1899-12-30T07:12:00"/>
    <m/>
    <d v="1899-12-30T00:01:54"/>
    <n v="0.15054638456172983"/>
    <n v="0.9956018518518519"/>
  </r>
  <r>
    <x v="90"/>
    <x v="1"/>
    <x v="4"/>
    <x v="0"/>
    <x v="0"/>
    <d v="1899-12-30T00:14:38"/>
    <d v="1899-12-30T08:00:19"/>
    <d v="1899-12-30T11:47:35"/>
    <d v="1899-12-30T03:47:16"/>
    <d v="1899-12-30T07:12:00"/>
    <m/>
    <d v="1899-12-30T03:24:44"/>
    <n v="6.4388383690231726E-2"/>
    <n v="0.52608024691358046"/>
  </r>
  <r>
    <x v="91"/>
    <x v="1"/>
    <x v="4"/>
    <x v="0"/>
    <x v="0"/>
    <d v="1899-12-30T01:11:19"/>
    <d v="1899-12-30T08:00:00"/>
    <d v="1899-12-30T17:00:21"/>
    <d v="1899-12-30T09:00:21"/>
    <d v="1899-12-30T07:12:00"/>
    <d v="1899-12-30T01:48:21"/>
    <m/>
    <n v="0.1319823571142161"/>
    <n v="1.2508101851851852"/>
  </r>
  <r>
    <x v="69"/>
    <x v="1"/>
    <x v="3"/>
    <x v="1"/>
    <x v="0"/>
    <d v="1899-12-30T01:18:23"/>
    <d v="1899-12-30T12:11:24"/>
    <d v="1899-12-30T18:00:37"/>
    <d v="1899-12-30T05:49:13"/>
    <d v="1899-12-30T06:00:00"/>
    <m/>
    <d v="1899-12-30T00:10:47"/>
    <n v="0.22445473201928123"/>
    <n v="0.97004629629629635"/>
  </r>
  <r>
    <x v="70"/>
    <x v="1"/>
    <x v="3"/>
    <x v="1"/>
    <x v="0"/>
    <d v="1899-12-30T01:00:48"/>
    <d v="1899-12-30T12:20:35"/>
    <d v="1899-12-30T18:00:13"/>
    <d v="1899-12-30T05:39:38"/>
    <d v="1899-12-30T06:00:00"/>
    <m/>
    <d v="1899-12-30T00:20:22"/>
    <n v="0.17901658651486904"/>
    <n v="0.94342592592592567"/>
  </r>
  <r>
    <x v="71"/>
    <x v="1"/>
    <x v="3"/>
    <x v="1"/>
    <x v="0"/>
    <d v="1899-12-30T01:14:58"/>
    <d v="1899-12-30T12:23:39"/>
    <d v="1899-12-30T18:00:50"/>
    <d v="1899-12-30T05:37:11"/>
    <d v="1899-12-30T06:00:00"/>
    <m/>
    <d v="1899-12-30T00:22:49"/>
    <n v="0.22233206465325492"/>
    <n v="0.93662037037037038"/>
  </r>
  <r>
    <x v="72"/>
    <x v="1"/>
    <x v="3"/>
    <x v="1"/>
    <x v="0"/>
    <d v="1899-12-30T00:53:20"/>
    <d v="1899-12-30T12:20:05"/>
    <d v="1899-12-30T18:06:31"/>
    <d v="1899-12-30T05:46:26"/>
    <d v="1899-12-30T06:00:00"/>
    <m/>
    <d v="1899-12-30T00:13:34"/>
    <n v="0.1539497738862696"/>
    <n v="0.96231481481481485"/>
  </r>
  <r>
    <x v="73"/>
    <x v="1"/>
    <x v="3"/>
    <x v="1"/>
    <x v="0"/>
    <d v="1899-12-30T01:20:20"/>
    <d v="1899-12-30T12:16:52"/>
    <d v="1899-12-30T18:01:37"/>
    <d v="1899-12-30T05:44:45"/>
    <d v="1899-12-30T06:00:00"/>
    <m/>
    <d v="1899-12-30T00:15:15"/>
    <n v="0.2330190959632584"/>
    <n v="0.95763888888888893"/>
  </r>
  <r>
    <x v="74"/>
    <x v="1"/>
    <x v="3"/>
    <x v="1"/>
    <x v="0"/>
    <d v="1899-12-30T01:02:57"/>
    <d v="1899-12-30T12:12:53"/>
    <d v="1899-12-30T18:00:35"/>
    <d v="1899-12-30T05:47:42"/>
    <d v="1899-12-30T06:00:00"/>
    <m/>
    <d v="1899-12-30T00:12:18"/>
    <n v="0.18104687949381651"/>
    <n v="0.96583333333333332"/>
  </r>
  <r>
    <x v="75"/>
    <x v="1"/>
    <x v="3"/>
    <x v="1"/>
    <x v="0"/>
    <d v="1899-12-30T01:13:04"/>
    <d v="1899-12-30T12:34:03"/>
    <d v="1899-12-30T18:00:32"/>
    <d v="1899-12-30T05:26:29"/>
    <d v="1899-12-30T06:00:00"/>
    <m/>
    <d v="1899-12-30T00:33:31"/>
    <n v="0.22379907090714179"/>
    <n v="0.90689814814814795"/>
  </r>
  <r>
    <x v="77"/>
    <x v="1"/>
    <x v="3"/>
    <x v="1"/>
    <x v="0"/>
    <d v="1899-12-30T01:16:19"/>
    <d v="1899-12-30T12:09:55"/>
    <d v="1899-12-30T18:01:41"/>
    <d v="1899-12-30T05:51:46"/>
    <d v="1899-12-30T06:00:00"/>
    <m/>
    <d v="1899-12-30T00:08:14"/>
    <n v="0.21695252534824222"/>
    <n v="0.97712962962962946"/>
  </r>
  <r>
    <x v="78"/>
    <x v="1"/>
    <x v="3"/>
    <x v="1"/>
    <x v="0"/>
    <d v="1899-12-30T01:01:47"/>
    <d v="1899-12-30T12:29:58"/>
    <d v="1899-12-30T18:02:59"/>
    <d v="1899-12-30T05:33:01"/>
    <d v="1899-12-30T06:00:00"/>
    <m/>
    <d v="1899-12-30T00:26:59"/>
    <n v="0.18552624993744055"/>
    <n v="0.92504629629629642"/>
  </r>
  <r>
    <x v="80"/>
    <x v="1"/>
    <x v="4"/>
    <x v="1"/>
    <x v="0"/>
    <d v="1899-12-30T01:07:51"/>
    <d v="1899-12-30T12:43:12"/>
    <d v="1899-12-30T18:00:26"/>
    <d v="1899-12-30T05:17:14"/>
    <d v="1899-12-30T06:00:00"/>
    <m/>
    <d v="1899-12-30T00:42:46"/>
    <n v="0.21388042450352007"/>
    <n v="0.88120370370370349"/>
  </r>
  <r>
    <x v="81"/>
    <x v="1"/>
    <x v="4"/>
    <x v="1"/>
    <x v="0"/>
    <d v="1899-12-30T01:18:58"/>
    <d v="1899-12-30T12:16:35"/>
    <d v="1899-12-30T18:00:26"/>
    <d v="1899-12-30T05:43:51"/>
    <d v="1899-12-30T06:00:00"/>
    <m/>
    <d v="1899-12-30T00:16:09"/>
    <n v="0.22965440356744701"/>
    <n v="0.95513888888888898"/>
  </r>
  <r>
    <x v="82"/>
    <x v="1"/>
    <x v="4"/>
    <x v="1"/>
    <x v="0"/>
    <d v="1899-12-30T00:55:22"/>
    <d v="1899-12-30T12:28:14"/>
    <d v="1899-12-30T18:01:52"/>
    <d v="1899-12-30T05:33:38"/>
    <d v="1899-12-30T06:00:00"/>
    <m/>
    <d v="1899-12-30T00:26:22"/>
    <n v="0.16595064442002194"/>
    <n v="0.9267592592592595"/>
  </r>
  <r>
    <x v="84"/>
    <x v="1"/>
    <x v="4"/>
    <x v="1"/>
    <x v="0"/>
    <d v="1899-12-30T00:53:57"/>
    <d v="1899-12-30T12:17:07"/>
    <d v="1899-12-30T18:02:21"/>
    <d v="1899-12-30T05:45:14"/>
    <d v="1899-12-30T06:00:00"/>
    <m/>
    <d v="1899-12-30T00:14:46"/>
    <n v="0.15627112098097906"/>
    <n v="0.95898148148148143"/>
  </r>
  <r>
    <x v="86"/>
    <x v="1"/>
    <x v="4"/>
    <x v="1"/>
    <x v="0"/>
    <d v="1899-12-30T01:02:14"/>
    <d v="1899-12-30T12:50:14"/>
    <d v="1899-12-30T18:01:34"/>
    <d v="1899-12-30T05:11:20"/>
    <d v="1899-12-30T06:00:00"/>
    <m/>
    <d v="1899-12-30T00:48:40"/>
    <n v="0.19989293361884369"/>
    <n v="0.8648148148148147"/>
  </r>
  <r>
    <x v="87"/>
    <x v="1"/>
    <x v="4"/>
    <x v="1"/>
    <x v="0"/>
    <d v="1899-12-30T01:04:59"/>
    <d v="1899-12-30T12:34:17"/>
    <d v="1899-12-30T18:00:30"/>
    <d v="1899-12-30T05:26:13"/>
    <d v="1899-12-30T06:00:00"/>
    <m/>
    <d v="1899-12-30T00:33:47"/>
    <n v="0.19920298370203846"/>
    <n v="0.90615740740740769"/>
  </r>
  <r>
    <x v="88"/>
    <x v="1"/>
    <x v="4"/>
    <x v="1"/>
    <x v="0"/>
    <d v="1899-12-30T01:03:58"/>
    <d v="1899-12-30T12:59:23"/>
    <d v="1899-12-30T18:00:25"/>
    <d v="1899-12-30T05:01:02"/>
    <d v="1899-12-30T06:00:00"/>
    <m/>
    <d v="1899-12-30T00:58:58"/>
    <n v="0.21249031115048173"/>
    <n v="0.83620370370370356"/>
  </r>
  <r>
    <x v="90"/>
    <x v="1"/>
    <x v="4"/>
    <x v="1"/>
    <x v="0"/>
    <d v="1899-12-30T01:17:48"/>
    <d v="1899-12-30T12:23:10"/>
    <d v="1899-12-30T18:00:11"/>
    <d v="1899-12-30T05:37:01"/>
    <d v="1899-12-30T06:00:00"/>
    <m/>
    <d v="1899-12-30T00:22:59"/>
    <n v="0.23084911725433965"/>
    <n v="0.93615740740740705"/>
  </r>
  <r>
    <x v="91"/>
    <x v="1"/>
    <x v="4"/>
    <x v="1"/>
    <x v="0"/>
    <d v="1899-12-30T01:06:39"/>
    <d v="1899-12-30T12:38:01"/>
    <d v="1899-12-30T18:00:38"/>
    <d v="1899-12-30T05:22:37"/>
    <d v="1899-12-30T06:00:00"/>
    <m/>
    <d v="1899-12-30T00:37:23"/>
    <n v="0.20659193056775324"/>
    <n v="0.89615740740740746"/>
  </r>
  <r>
    <x v="91"/>
    <x v="1"/>
    <x v="4"/>
    <x v="22"/>
    <x v="0"/>
    <d v="1899-12-30T00:40:19"/>
    <d v="1899-12-30T11:48:38"/>
    <d v="1899-12-30T18:01:10"/>
    <d v="1899-12-30T06:12:32"/>
    <d v="1899-12-30T07:12:00"/>
    <m/>
    <d v="1899-12-30T00:59:28"/>
    <n v="0.108222977809592"/>
    <n v="0.8623456790123456"/>
  </r>
  <r>
    <x v="69"/>
    <x v="1"/>
    <x v="3"/>
    <x v="2"/>
    <x v="0"/>
    <d v="1899-12-30T00:48:41"/>
    <d v="1899-12-30T08:19:43"/>
    <d v="1899-12-30T15:13:12"/>
    <d v="1899-12-30T06:53:29"/>
    <d v="1899-12-30T07:12:00"/>
    <m/>
    <d v="1899-12-30T00:18:31"/>
    <n v="0.11773953000927083"/>
    <n v="0.95713734567901243"/>
  </r>
  <r>
    <x v="70"/>
    <x v="1"/>
    <x v="3"/>
    <x v="2"/>
    <x v="0"/>
    <d v="1899-12-30T01:03:33"/>
    <d v="1899-12-30T08:10:37"/>
    <d v="1899-12-30T15:41:31"/>
    <d v="1899-12-30T07:30:54"/>
    <d v="1899-12-30T07:12:00"/>
    <d v="1899-12-30T00:18:54"/>
    <m/>
    <n v="0.14094034153914392"/>
    <n v="1.0437500000000002"/>
  </r>
  <r>
    <x v="71"/>
    <x v="1"/>
    <x v="3"/>
    <x v="2"/>
    <x v="0"/>
    <d v="1899-12-30T00:47:54"/>
    <d v="1899-12-30T08:21:47"/>
    <d v="1899-12-30T17:06:20"/>
    <d v="1899-12-30T08:44:33"/>
    <d v="1899-12-30T07:12:00"/>
    <d v="1899-12-30T01:32:33"/>
    <m/>
    <n v="9.1316366409303226E-2"/>
    <n v="1.2142361111111111"/>
  </r>
  <r>
    <x v="72"/>
    <x v="1"/>
    <x v="3"/>
    <x v="2"/>
    <x v="0"/>
    <d v="1899-12-30T00:49:38"/>
    <d v="1899-12-30T08:23:50"/>
    <d v="1899-12-30T15:50:50"/>
    <d v="1899-12-30T07:27:00"/>
    <d v="1899-12-30T07:12:00"/>
    <d v="1899-12-30T00:15:00"/>
    <m/>
    <n v="0.11103653989560029"/>
    <n v="1.0347222222222223"/>
  </r>
  <r>
    <x v="73"/>
    <x v="1"/>
    <x v="3"/>
    <x v="2"/>
    <x v="0"/>
    <d v="1899-12-30T00:49:49"/>
    <d v="1899-12-30T08:43:07"/>
    <d v="1899-12-30T16:05:41"/>
    <d v="1899-12-30T07:22:34"/>
    <d v="1899-12-30T07:12:00"/>
    <d v="1899-12-30T00:10:34"/>
    <m/>
    <n v="0.11256307900881225"/>
    <n v="1.0244598765432098"/>
  </r>
  <r>
    <x v="74"/>
    <x v="1"/>
    <x v="3"/>
    <x v="2"/>
    <x v="0"/>
    <d v="1899-12-30T01:01:36"/>
    <d v="1899-12-30T08:08:23"/>
    <d v="1899-12-30T15:14:56"/>
    <d v="1899-12-30T07:06:33"/>
    <d v="1899-12-30T07:12:00"/>
    <m/>
    <d v="1899-12-30T00:05:27"/>
    <n v="0.14441448833665455"/>
    <n v="0.98738425925925932"/>
  </r>
  <r>
    <x v="75"/>
    <x v="1"/>
    <x v="3"/>
    <x v="2"/>
    <x v="0"/>
    <d v="1899-12-30T00:46:44"/>
    <d v="1899-12-30T12:26:31"/>
    <d v="1899-12-30T18:01:13"/>
    <d v="1899-12-30T05:34:42"/>
    <d v="1899-12-30T07:12:00"/>
    <m/>
    <d v="1899-12-30T01:37:18"/>
    <n v="0.13962752713873119"/>
    <n v="0.77476851851851869"/>
  </r>
  <r>
    <x v="76"/>
    <x v="1"/>
    <x v="3"/>
    <x v="2"/>
    <x v="0"/>
    <d v="1899-12-30T01:01:01"/>
    <d v="1899-12-30T08:18:48"/>
    <d v="1899-12-30T16:41:50"/>
    <d v="1899-12-30T08:23:02"/>
    <d v="1899-12-30T07:12:00"/>
    <d v="1899-12-30T01:11:02"/>
    <m/>
    <n v="0.12129746206348156"/>
    <n v="1.1644290123456789"/>
  </r>
  <r>
    <x v="77"/>
    <x v="1"/>
    <x v="3"/>
    <x v="2"/>
    <x v="0"/>
    <d v="1899-12-30T00:56:56"/>
    <d v="1899-12-30T08:18:01"/>
    <d v="1899-12-30T16:23:23"/>
    <d v="1899-12-30T08:05:22"/>
    <d v="1899-12-30T07:12:00"/>
    <d v="1899-12-30T00:53:22"/>
    <m/>
    <n v="0.11729963601401004"/>
    <n v="1.1235339506172839"/>
  </r>
  <r>
    <x v="78"/>
    <x v="1"/>
    <x v="3"/>
    <x v="2"/>
    <x v="0"/>
    <d v="1899-12-30T01:11:00"/>
    <d v="1899-12-30T08:23:15"/>
    <d v="1899-12-30T15:57:53"/>
    <d v="1899-12-30T07:34:38"/>
    <d v="1899-12-30T07:12:00"/>
    <d v="1899-12-30T00:22:38"/>
    <m/>
    <n v="0.15616980717061368"/>
    <n v="1.0523919753086419"/>
  </r>
  <r>
    <x v="79"/>
    <x v="1"/>
    <x v="4"/>
    <x v="2"/>
    <x v="0"/>
    <d v="1899-12-30T00:54:49"/>
    <d v="1899-12-30T08:02:41"/>
    <d v="1899-12-30T15:13:24"/>
    <d v="1899-12-30T07:10:43"/>
    <d v="1899-12-30T07:12:00"/>
    <m/>
    <d v="1899-12-30T00:01:17"/>
    <n v="0.12726850597840808"/>
    <n v="0.99702932098765451"/>
  </r>
  <r>
    <x v="80"/>
    <x v="1"/>
    <x v="4"/>
    <x v="2"/>
    <x v="0"/>
    <d v="1899-12-30T01:17:41"/>
    <d v="1899-12-30T08:01:18"/>
    <d v="1899-12-30T15:15:56"/>
    <d v="1899-12-30T07:14:38"/>
    <d v="1899-12-30T07:12:00"/>
    <d v="1899-12-30T00:02:38"/>
    <m/>
    <n v="0.17873303167420815"/>
    <n v="1.0060956790123456"/>
  </r>
  <r>
    <x v="69"/>
    <x v="1"/>
    <x v="3"/>
    <x v="3"/>
    <x v="0"/>
    <d v="1899-12-30T00:51:01"/>
    <d v="1899-12-30T08:03:07"/>
    <d v="1899-12-30T15:12:08"/>
    <d v="1899-12-30T07:09:01"/>
    <d v="1899-12-30T07:12:00"/>
    <m/>
    <d v="1899-12-30T00:02:59"/>
    <n v="0.11891534905403829"/>
    <n v="0.99309413580246919"/>
  </r>
  <r>
    <x v="70"/>
    <x v="1"/>
    <x v="3"/>
    <x v="3"/>
    <x v="0"/>
    <d v="1899-12-30T01:25:43"/>
    <d v="1899-12-30T08:02:34"/>
    <d v="1899-12-30T15:13:53"/>
    <d v="1899-12-30T07:11:19"/>
    <d v="1899-12-30T07:12:00"/>
    <m/>
    <d v="1899-12-30T00:00:41"/>
    <n v="0.19873256308203563"/>
    <n v="0.99841820987654317"/>
  </r>
  <r>
    <x v="71"/>
    <x v="1"/>
    <x v="3"/>
    <x v="3"/>
    <x v="0"/>
    <d v="1899-12-30T00:59:22"/>
    <d v="1899-12-30T08:56:52"/>
    <d v="1899-12-30T15:12:21"/>
    <d v="1899-12-30T06:15:29"/>
    <d v="1899-12-30T07:12:00"/>
    <m/>
    <d v="1899-12-30T00:56:31"/>
    <n v="0.15810732833237162"/>
    <n v="0.86917438271604941"/>
  </r>
  <r>
    <x v="72"/>
    <x v="1"/>
    <x v="3"/>
    <x v="3"/>
    <x v="0"/>
    <d v="1899-12-30T01:15:41"/>
    <d v="1899-12-30T08:00:44"/>
    <d v="1899-12-30T15:12:39"/>
    <d v="1899-12-30T07:11:55"/>
    <d v="1899-12-30T07:12:00"/>
    <m/>
    <d v="1899-12-30T00:00:05"/>
    <n v="0.17522670268184448"/>
    <n v="0.99980709876543228"/>
  </r>
  <r>
    <x v="73"/>
    <x v="1"/>
    <x v="3"/>
    <x v="3"/>
    <x v="0"/>
    <d v="1899-12-30T01:01:19"/>
    <d v="1899-12-30T08:03:22"/>
    <d v="1899-12-30T15:14:07"/>
    <d v="1899-12-30T07:10:45"/>
    <d v="1899-12-30T07:12:00"/>
    <m/>
    <d v="1899-12-30T00:01:15"/>
    <n v="0.14234861675372409"/>
    <n v="0.99710648148148173"/>
  </r>
  <r>
    <x v="74"/>
    <x v="1"/>
    <x v="3"/>
    <x v="3"/>
    <x v="0"/>
    <d v="1899-12-30T01:30:17"/>
    <d v="1899-12-30T08:03:29"/>
    <d v="1899-12-30T15:12:43"/>
    <d v="1899-12-30T07:09:14"/>
    <d v="1899-12-30T07:12:00"/>
    <m/>
    <d v="1899-12-30T00:02:46"/>
    <n v="0.21033625844529005"/>
    <n v="0.99359567901234569"/>
  </r>
  <r>
    <x v="75"/>
    <x v="1"/>
    <x v="3"/>
    <x v="3"/>
    <x v="0"/>
    <d v="1899-12-30T00:56:52"/>
    <d v="1899-12-30T08:26:42"/>
    <d v="1899-12-30T15:12:23"/>
    <d v="1899-12-30T06:45:41"/>
    <d v="1899-12-30T07:12:00"/>
    <m/>
    <d v="1899-12-30T00:26:19"/>
    <n v="0.14017501335195759"/>
    <n v="0.93908179012345705"/>
  </r>
  <r>
    <x v="76"/>
    <x v="1"/>
    <x v="3"/>
    <x v="3"/>
    <x v="0"/>
    <d v="1899-12-30T01:18:19"/>
    <d v="1899-12-30T08:03:28"/>
    <d v="1899-12-30T16:12:54"/>
    <d v="1899-12-30T08:09:26"/>
    <d v="1899-12-30T07:12:00"/>
    <d v="1899-12-30T00:57:26"/>
    <m/>
    <n v="0.16001498331403663"/>
    <n v="1.1329475308641976"/>
  </r>
  <r>
    <x v="77"/>
    <x v="1"/>
    <x v="3"/>
    <x v="3"/>
    <x v="0"/>
    <d v="1899-12-30T01:02:52"/>
    <d v="1899-12-30T08:03:35"/>
    <d v="1899-12-30T16:15:01"/>
    <d v="1899-12-30T08:11:26"/>
    <d v="1899-12-30T07:12:00"/>
    <d v="1899-12-30T00:59:26"/>
    <m/>
    <n v="0.12792511700468021"/>
    <n v="1.1375771604938272"/>
  </r>
  <r>
    <x v="78"/>
    <x v="1"/>
    <x v="3"/>
    <x v="3"/>
    <x v="0"/>
    <d v="1899-12-30T01:19:48"/>
    <d v="1899-12-30T08:03:05"/>
    <d v="1899-12-30T16:02:23"/>
    <d v="1899-12-30T07:59:18"/>
    <d v="1899-12-30T07:12:00"/>
    <d v="1899-12-30T00:47:18"/>
    <m/>
    <n v="0.16649280200292094"/>
    <n v="1.1094907407407408"/>
  </r>
  <r>
    <x v="79"/>
    <x v="1"/>
    <x v="4"/>
    <x v="3"/>
    <x v="0"/>
    <d v="1899-12-30T01:10:06"/>
    <d v="1899-12-30T08:01:10"/>
    <d v="1899-12-30T15:12:22"/>
    <d v="1899-12-30T07:11:12"/>
    <d v="1899-12-30T07:12:00"/>
    <m/>
    <d v="1899-12-30T00:00:48"/>
    <n v="0.16256957328385901"/>
    <n v="0.99814814814814801"/>
  </r>
  <r>
    <x v="80"/>
    <x v="1"/>
    <x v="4"/>
    <x v="3"/>
    <x v="0"/>
    <d v="1899-12-30T01:26:20"/>
    <d v="1899-12-30T08:30:03"/>
    <d v="1899-12-30T16:00:19"/>
    <d v="1899-12-30T07:30:16"/>
    <d v="1899-12-30T07:12:00"/>
    <d v="1899-12-30T00:18:16"/>
    <m/>
    <n v="0.19173822919751263"/>
    <n v="1.0422839506172838"/>
  </r>
  <r>
    <x v="81"/>
    <x v="1"/>
    <x v="4"/>
    <x v="3"/>
    <x v="0"/>
    <d v="1899-12-30T00:59:20"/>
    <d v="1899-12-30T08:03:49"/>
    <d v="1899-12-30T15:12:08"/>
    <d v="1899-12-30T07:08:19"/>
    <d v="1899-12-30T07:12:00"/>
    <m/>
    <d v="1899-12-30T00:03:41"/>
    <n v="0.13852679092571696"/>
    <n v="0.99147376543209875"/>
  </r>
  <r>
    <x v="82"/>
    <x v="1"/>
    <x v="4"/>
    <x v="3"/>
    <x v="0"/>
    <d v="1899-12-30T01:11:35"/>
    <d v="1899-12-30T08:03:59"/>
    <d v="1899-12-30T15:14:00"/>
    <d v="1899-12-30T07:10:01"/>
    <d v="1899-12-30T07:12:00"/>
    <m/>
    <d v="1899-12-30T00:01:59"/>
    <n v="0.16646641603038645"/>
    <n v="0.99540895061728385"/>
  </r>
  <r>
    <x v="83"/>
    <x v="1"/>
    <x v="4"/>
    <x v="3"/>
    <x v="0"/>
    <d v="1899-12-30T00:53:56"/>
    <d v="1899-12-30T08:00:00"/>
    <d v="1899-12-30T15:12:31"/>
    <d v="1899-12-30T07:12:31"/>
    <d v="1899-12-30T07:12:00"/>
    <d v="1899-12-30T00:00:31"/>
    <m/>
    <n v="0.12469654348580016"/>
    <n v="1.0011959876543211"/>
  </r>
  <r>
    <x v="84"/>
    <x v="1"/>
    <x v="4"/>
    <x v="3"/>
    <x v="0"/>
    <d v="1899-12-30T01:12:02"/>
    <d v="1899-12-30T08:02:18"/>
    <d v="1899-12-30T16:14:22"/>
    <d v="1899-12-30T08:12:04"/>
    <d v="1899-12-30T07:12:00"/>
    <d v="1899-12-30T01:00:04"/>
    <m/>
    <n v="0.14638937813304428"/>
    <n v="1.1390432098765433"/>
  </r>
  <r>
    <x v="85"/>
    <x v="1"/>
    <x v="4"/>
    <x v="3"/>
    <x v="0"/>
    <d v="1899-12-30T01:17:25"/>
    <d v="1899-12-30T08:02:22"/>
    <d v="1899-12-30T16:00:20"/>
    <d v="1899-12-30T07:57:58"/>
    <d v="1899-12-30T07:12:00"/>
    <d v="1899-12-30T00:45:58"/>
    <m/>
    <n v="0.16197084873422132"/>
    <n v="1.1064043209876546"/>
  </r>
  <r>
    <x v="86"/>
    <x v="1"/>
    <x v="4"/>
    <x v="3"/>
    <x v="0"/>
    <d v="1899-12-30T01:01:44"/>
    <d v="1899-12-30T08:36:28"/>
    <d v="1899-12-30T15:12:14"/>
    <d v="1899-12-30T06:35:46"/>
    <d v="1899-12-30T07:12:00"/>
    <m/>
    <d v="1899-12-30T00:36:14"/>
    <n v="0.1559841657542323"/>
    <n v="0.91612654320987663"/>
  </r>
  <r>
    <x v="87"/>
    <x v="1"/>
    <x v="4"/>
    <x v="3"/>
    <x v="0"/>
    <d v="1899-12-30T01:11:51"/>
    <d v="1899-12-30T08:06:54"/>
    <d v="1899-12-30T15:13:22"/>
    <d v="1899-12-30T07:06:28"/>
    <d v="1899-12-30T07:12:00"/>
    <m/>
    <d v="1899-12-30T00:05:32"/>
    <n v="0.16847741128654059"/>
    <n v="0.98719135802469127"/>
  </r>
  <r>
    <x v="88"/>
    <x v="1"/>
    <x v="4"/>
    <x v="3"/>
    <x v="0"/>
    <d v="1899-12-30T01:13:34"/>
    <d v="1899-12-30T08:19:45"/>
    <d v="1899-12-30T15:12:34"/>
    <d v="1899-12-30T06:52:49"/>
    <d v="1899-12-30T07:12:00"/>
    <m/>
    <d v="1899-12-30T00:19:11"/>
    <n v="0.17820662925430983"/>
    <n v="0.9555941358024691"/>
  </r>
  <r>
    <x v="89"/>
    <x v="1"/>
    <x v="4"/>
    <x v="3"/>
    <x v="0"/>
    <d v="1899-12-30T01:11:49"/>
    <d v="1899-12-30T08:04:00"/>
    <d v="1899-12-30T15:14:07"/>
    <d v="1899-12-30T07:10:07"/>
    <d v="1899-12-30T07:12:00"/>
    <m/>
    <d v="1899-12-30T00:01:53"/>
    <n v="0.16697020188320996"/>
    <n v="0.99564043209876552"/>
  </r>
  <r>
    <x v="90"/>
    <x v="1"/>
    <x v="4"/>
    <x v="3"/>
    <x v="0"/>
    <d v="1899-12-30T01:10:07"/>
    <d v="1899-12-30T08:12:09"/>
    <d v="1899-12-30T16:01:36"/>
    <d v="1899-12-30T07:49:27"/>
    <d v="1899-12-30T07:12:00"/>
    <d v="1899-12-30T00:37:27"/>
    <m/>
    <n v="0.14935917918131145"/>
    <n v="1.086689814814815"/>
  </r>
  <r>
    <x v="91"/>
    <x v="1"/>
    <x v="4"/>
    <x v="3"/>
    <x v="0"/>
    <d v="1899-12-30T00:55:03"/>
    <d v="1899-12-30T08:02:12"/>
    <d v="1899-12-30T15:12:22"/>
    <d v="1899-12-30T07:10:10"/>
    <d v="1899-12-30T07:12:00"/>
    <m/>
    <d v="1899-12-30T00:01:50"/>
    <n v="0.12797365362262692"/>
    <n v="0.99575617283950613"/>
  </r>
  <r>
    <x v="69"/>
    <x v="1"/>
    <x v="3"/>
    <x v="5"/>
    <x v="0"/>
    <d v="1899-12-30T01:07:59"/>
    <d v="1899-12-30T08:26:50"/>
    <d v="1899-12-30T15:23:17"/>
    <d v="1899-12-30T06:56:27"/>
    <d v="1899-12-30T07:12:00"/>
    <m/>
    <d v="1899-12-30T00:15:33"/>
    <n v="0.16324488734141751"/>
    <n v="0.96400462962962974"/>
  </r>
  <r>
    <x v="70"/>
    <x v="1"/>
    <x v="3"/>
    <x v="5"/>
    <x v="0"/>
    <d v="1899-12-30T01:12:49"/>
    <d v="1899-12-30T08:01:59"/>
    <d v="1899-12-30T15:17:16"/>
    <d v="1899-12-30T07:15:17"/>
    <d v="1899-12-30T07:12:00"/>
    <d v="1899-12-30T00:03:17"/>
    <m/>
    <n v="0.16728567599647742"/>
    <n v="1.0076003086419751"/>
  </r>
  <r>
    <x v="73"/>
    <x v="1"/>
    <x v="3"/>
    <x v="5"/>
    <x v="0"/>
    <d v="1899-12-30T01:10:37"/>
    <d v="1899-12-30T08:01:54"/>
    <d v="1899-12-30T15:43:29"/>
    <d v="1899-12-30T07:41:35"/>
    <d v="1899-12-30T07:12:00"/>
    <d v="1899-12-30T00:29:35"/>
    <m/>
    <n v="0.15298790395378231"/>
    <n v="1.0684799382716048"/>
  </r>
  <r>
    <x v="74"/>
    <x v="1"/>
    <x v="3"/>
    <x v="5"/>
    <x v="0"/>
    <d v="1899-12-30T01:18:58"/>
    <d v="1899-12-30T08:02:15"/>
    <d v="1899-12-30T15:13:41"/>
    <d v="1899-12-30T07:11:26"/>
    <d v="1899-12-30T07:12:00"/>
    <m/>
    <d v="1899-12-30T00:00:34"/>
    <n v="0.18303329985320252"/>
    <n v="0.99868827160493823"/>
  </r>
  <r>
    <x v="75"/>
    <x v="1"/>
    <x v="3"/>
    <x v="5"/>
    <x v="0"/>
    <d v="1899-12-30T01:04:05"/>
    <d v="1899-12-30T08:28:52"/>
    <d v="1899-12-30T15:38:40"/>
    <d v="1899-12-30T07:09:48"/>
    <d v="1899-12-30T07:12:00"/>
    <m/>
    <d v="1899-12-30T00:02:12"/>
    <n v="0.14910035675507988"/>
    <n v="0.99490740740740757"/>
  </r>
  <r>
    <x v="76"/>
    <x v="1"/>
    <x v="3"/>
    <x v="5"/>
    <x v="0"/>
    <d v="1899-12-30T01:17:20"/>
    <d v="1899-12-30T10:46:40"/>
    <d v="1899-12-30T17:00:45"/>
    <d v="1899-12-30T06:14:05"/>
    <d v="1899-12-30T07:12:00"/>
    <m/>
    <d v="1899-12-30T00:57:55"/>
    <n v="0.2067275562486077"/>
    <n v="0.86593364197530875"/>
  </r>
  <r>
    <x v="77"/>
    <x v="1"/>
    <x v="3"/>
    <x v="5"/>
    <x v="0"/>
    <d v="1899-12-30T00:49:40"/>
    <d v="1899-12-30T10:14:01"/>
    <d v="1899-12-30T16:45:24"/>
    <d v="1899-12-30T06:31:23"/>
    <d v="1899-12-30T07:12:00"/>
    <m/>
    <d v="1899-12-30T00:40:37"/>
    <n v="0.1269003108631776"/>
    <n v="0.90597993827160495"/>
  </r>
  <r>
    <x v="78"/>
    <x v="1"/>
    <x v="3"/>
    <x v="5"/>
    <x v="0"/>
    <d v="1899-12-30T00:55:00"/>
    <d v="1899-12-30T12:03:49"/>
    <d v="1899-12-30T16:52:27"/>
    <d v="1899-12-30T04:48:38"/>
    <d v="1899-12-30T07:12:00"/>
    <m/>
    <d v="1899-12-30T02:23:22"/>
    <n v="0.1905531816606999"/>
    <n v="0.66813271604938262"/>
  </r>
  <r>
    <x v="79"/>
    <x v="1"/>
    <x v="4"/>
    <x v="5"/>
    <x v="0"/>
    <d v="1899-12-30T01:05:10"/>
    <d v="1899-12-30T08:01:48"/>
    <d v="1899-12-30T16:20:23"/>
    <d v="1899-12-30T08:18:35"/>
    <d v="1899-12-30T07:12:00"/>
    <d v="1899-12-30T01:06:35"/>
    <m/>
    <n v="0.13070366037105133"/>
    <n v="1.1541280864197532"/>
  </r>
  <r>
    <x v="80"/>
    <x v="1"/>
    <x v="4"/>
    <x v="5"/>
    <x v="0"/>
    <d v="1899-12-30T01:58:49"/>
    <d v="1899-12-30T08:03:15"/>
    <d v="1899-12-30T16:12:26"/>
    <d v="1899-12-30T08:09:11"/>
    <d v="1899-12-30T07:12:00"/>
    <d v="1899-12-30T00:57:11"/>
    <m/>
    <n v="0.24288780620762493"/>
    <n v="1.1323688271604939"/>
  </r>
  <r>
    <x v="81"/>
    <x v="1"/>
    <x v="4"/>
    <x v="5"/>
    <x v="0"/>
    <d v="1899-12-30T01:10:18"/>
    <d v="1899-12-30T08:05:15"/>
    <d v="1899-12-30T16:43:43"/>
    <d v="1899-12-30T08:38:28"/>
    <d v="1899-12-30T07:12:00"/>
    <d v="1899-12-30T01:26:28"/>
    <m/>
    <n v="0.13559213064163558"/>
    <n v="1.2001543209876544"/>
  </r>
  <r>
    <x v="82"/>
    <x v="1"/>
    <x v="4"/>
    <x v="5"/>
    <x v="0"/>
    <d v="1899-12-30T00:18:42"/>
    <d v="1899-12-30T08:06:59"/>
    <d v="1899-12-30T15:42:26"/>
    <d v="1899-12-30T07:35:27"/>
    <d v="1899-12-30T07:12:00"/>
    <d v="1899-12-30T00:23:27"/>
    <m/>
    <n v="4.1058293994950056E-2"/>
    <n v="1.0542824074074073"/>
  </r>
  <r>
    <x v="83"/>
    <x v="1"/>
    <x v="4"/>
    <x v="5"/>
    <x v="0"/>
    <d v="1899-12-30T00:58:01"/>
    <d v="1899-12-30T08:20:25"/>
    <d v="1899-12-30T17:13:06"/>
    <d v="1899-12-30T08:52:41"/>
    <d v="1899-12-30T07:12:00"/>
    <d v="1899-12-30T01:40:41"/>
    <m/>
    <n v="0.10891398892400113"/>
    <n v="1.2330632716049383"/>
  </r>
  <r>
    <x v="84"/>
    <x v="1"/>
    <x v="4"/>
    <x v="5"/>
    <x v="0"/>
    <d v="1899-12-30T00:29:39"/>
    <d v="1899-12-30T08:04:49"/>
    <d v="1899-12-30T15:42:32"/>
    <d v="1899-12-30T07:37:43"/>
    <d v="1899-12-30T07:12:00"/>
    <d v="1899-12-30T00:25:43"/>
    <m/>
    <n v="6.4778065032953427E-2"/>
    <n v="1.0595293209876542"/>
  </r>
  <r>
    <x v="86"/>
    <x v="1"/>
    <x v="4"/>
    <x v="5"/>
    <x v="0"/>
    <d v="1899-12-30T00:56:37"/>
    <d v="1899-12-30T08:58:30"/>
    <d v="1899-12-30T16:42:49"/>
    <d v="1899-12-30T07:44:19"/>
    <d v="1899-12-30T07:12:00"/>
    <d v="1899-12-30T00:32:19"/>
    <m/>
    <n v="0.12193546071287556"/>
    <n v="1.0748070987654321"/>
  </r>
  <r>
    <x v="87"/>
    <x v="1"/>
    <x v="4"/>
    <x v="5"/>
    <x v="0"/>
    <d v="1899-12-30T01:08:38"/>
    <d v="1899-12-30T08:02:15"/>
    <d v="1899-12-30T16:43:42"/>
    <d v="1899-12-30T08:41:27"/>
    <d v="1899-12-30T07:12:00"/>
    <d v="1899-12-30T01:29:27"/>
    <m/>
    <n v="0.13162016172851343"/>
    <n v="1.2070601851851854"/>
  </r>
  <r>
    <x v="88"/>
    <x v="1"/>
    <x v="4"/>
    <x v="5"/>
    <x v="0"/>
    <d v="1899-12-30T01:00:44"/>
    <d v="1899-12-30T08:08:00"/>
    <d v="1899-12-30T15:13:19"/>
    <d v="1899-12-30T07:05:19"/>
    <d v="1899-12-30T07:12:00"/>
    <m/>
    <d v="1899-12-30T00:06:41"/>
    <n v="0.14279556408950198"/>
    <n v="0.98452932098765422"/>
  </r>
  <r>
    <x v="89"/>
    <x v="1"/>
    <x v="4"/>
    <x v="5"/>
    <x v="0"/>
    <d v="1899-12-30T00:55:13"/>
    <d v="1899-12-30T08:32:06"/>
    <d v="1899-12-30T15:13:55"/>
    <d v="1899-12-30T06:41:49"/>
    <d v="1899-12-30T07:12:00"/>
    <m/>
    <d v="1899-12-30T00:30:11"/>
    <n v="0.13741756190634202"/>
    <n v="0.93013117283950619"/>
  </r>
  <r>
    <x v="90"/>
    <x v="1"/>
    <x v="4"/>
    <x v="5"/>
    <x v="0"/>
    <d v="1899-12-30T00:48:24"/>
    <d v="1899-12-30T08:01:03"/>
    <d v="1899-12-30T15:12:34"/>
    <d v="1899-12-30T07:11:31"/>
    <d v="1899-12-30T07:12:00"/>
    <m/>
    <d v="1899-12-30T00:00:29"/>
    <n v="0.11216252751921517"/>
    <n v="0.99888117283950628"/>
  </r>
  <r>
    <x v="91"/>
    <x v="1"/>
    <x v="4"/>
    <x v="5"/>
    <x v="0"/>
    <d v="1899-12-30T00:48:47"/>
    <d v="1899-12-30T08:00:00"/>
    <d v="1899-12-30T15:21:54"/>
    <d v="1899-12-30T07:21:54"/>
    <d v="1899-12-30T07:12:00"/>
    <d v="1899-12-30T00:09:54"/>
    <m/>
    <n v="0.11039450856151464"/>
    <n v="1.0229166666666669"/>
  </r>
  <r>
    <x v="69"/>
    <x v="1"/>
    <x v="3"/>
    <x v="6"/>
    <x v="3"/>
    <d v="1899-12-30T01:01:04"/>
    <d v="1899-12-30T10:50:43"/>
    <d v="1899-12-30T18:06:08"/>
    <d v="1899-12-30T07:15:25"/>
    <d v="1899-12-30T07:12:00"/>
    <d v="1899-12-30T00:03:25"/>
    <m/>
    <n v="0.14024880382775118"/>
    <n v="1.0079089506172842"/>
  </r>
  <r>
    <x v="70"/>
    <x v="1"/>
    <x v="3"/>
    <x v="6"/>
    <x v="3"/>
    <d v="1899-12-30T00:59:02"/>
    <d v="1899-12-30T10:50:46"/>
    <d v="1899-12-30T18:01:05"/>
    <d v="1899-12-30T07:10:19"/>
    <d v="1899-12-30T07:12:00"/>
    <m/>
    <d v="1899-12-30T00:01:41"/>
    <n v="0.13718579340795536"/>
    <n v="0.99610339506172862"/>
  </r>
  <r>
    <x v="71"/>
    <x v="1"/>
    <x v="3"/>
    <x v="6"/>
    <x v="3"/>
    <d v="1899-12-30T00:48:21"/>
    <d v="1899-12-30T10:49:20"/>
    <d v="1899-12-30T18:00:46"/>
    <d v="1899-12-30T07:11:26"/>
    <d v="1899-12-30T07:12:00"/>
    <m/>
    <d v="1899-12-30T00:00:34"/>
    <n v="0.1120682994668933"/>
    <n v="0.99868827160493834"/>
  </r>
  <r>
    <x v="72"/>
    <x v="1"/>
    <x v="3"/>
    <x v="6"/>
    <x v="3"/>
    <d v="1899-12-30T01:08:36"/>
    <d v="1899-12-30T10:55:40"/>
    <d v="1899-12-30T18:01:39"/>
    <d v="1899-12-30T07:05:59"/>
    <d v="1899-12-30T07:12:00"/>
    <m/>
    <d v="1899-12-30T00:06:01"/>
    <n v="0.16103916428655268"/>
    <n v="0.98607253086419755"/>
  </r>
  <r>
    <x v="73"/>
    <x v="1"/>
    <x v="3"/>
    <x v="6"/>
    <x v="3"/>
    <d v="1899-12-30T00:57:59"/>
    <d v="1899-12-30T11:09:27"/>
    <d v="1899-12-30T18:04:10"/>
    <d v="1899-12-30T06:54:43"/>
    <d v="1899-12-30T07:12:00"/>
    <m/>
    <d v="1899-12-30T00:17:17"/>
    <n v="0.13981433106940486"/>
    <n v="0.9599922839506172"/>
  </r>
  <r>
    <x v="74"/>
    <x v="1"/>
    <x v="3"/>
    <x v="6"/>
    <x v="3"/>
    <d v="1899-12-30T00:52:33"/>
    <d v="1899-12-30T10:48:33"/>
    <d v="1899-12-30T18:03:55"/>
    <d v="1899-12-30T07:15:22"/>
    <d v="1899-12-30T07:12:00"/>
    <d v="1899-12-30T00:03:22"/>
    <m/>
    <n v="0.12070285583033458"/>
    <n v="1.0077932098765434"/>
  </r>
  <r>
    <x v="75"/>
    <x v="1"/>
    <x v="3"/>
    <x v="6"/>
    <x v="3"/>
    <d v="1899-12-30T00:54:24"/>
    <d v="1899-12-30T09:51:20"/>
    <d v="1899-12-30T18:00:47"/>
    <d v="1899-12-30T08:09:27"/>
    <d v="1899-12-30T07:12:00"/>
    <d v="1899-12-30T00:57:27"/>
    <m/>
    <n v="0.11114516293799162"/>
    <n v="1.1329861111111112"/>
  </r>
  <r>
    <x v="76"/>
    <x v="1"/>
    <x v="3"/>
    <x v="6"/>
    <x v="3"/>
    <d v="1899-12-30T00:37:58"/>
    <d v="1899-12-30T10:36:56"/>
    <d v="1899-12-30T18:01:49"/>
    <d v="1899-12-30T07:24:53"/>
    <d v="1899-12-30T07:12:00"/>
    <d v="1899-12-30T00:12:53"/>
    <m/>
    <n v="8.5340726033042366E-2"/>
    <n v="1.0298225308641977"/>
  </r>
  <r>
    <x v="77"/>
    <x v="1"/>
    <x v="3"/>
    <x v="6"/>
    <x v="3"/>
    <d v="1899-12-30T01:00:34"/>
    <d v="1899-12-30T10:53:10"/>
    <d v="1899-12-30T18:01:35"/>
    <d v="1899-12-30T07:08:25"/>
    <d v="1899-12-30T07:12:00"/>
    <m/>
    <d v="1899-12-30T00:03:35"/>
    <n v="0.14137327368216301"/>
    <n v="0.99170524691358031"/>
  </r>
  <r>
    <x v="78"/>
    <x v="1"/>
    <x v="3"/>
    <x v="6"/>
    <x v="3"/>
    <d v="1899-12-30T00:57:46"/>
    <d v="1899-12-30T09:35:48"/>
    <d v="1899-12-30T18:01:01"/>
    <d v="1899-12-30T08:25:13"/>
    <d v="1899-12-30T07:12:00"/>
    <d v="1899-12-30T01:13:13"/>
    <m/>
    <n v="0.11434038201431732"/>
    <n v="1.1694830246913579"/>
  </r>
  <r>
    <x v="79"/>
    <x v="1"/>
    <x v="4"/>
    <x v="6"/>
    <x v="0"/>
    <d v="1899-12-30T00:51:21"/>
    <d v="1899-12-30T10:14:20"/>
    <d v="1899-12-30T18:01:18"/>
    <d v="1899-12-30T07:46:58"/>
    <d v="1899-12-30T07:12:00"/>
    <d v="1899-12-30T00:34:58"/>
    <m/>
    <n v="0.109965022485545"/>
    <n v="1.0809413580246916"/>
  </r>
  <r>
    <x v="80"/>
    <x v="1"/>
    <x v="4"/>
    <x v="6"/>
    <x v="0"/>
    <d v="1899-12-30T00:13:43"/>
    <d v="1899-12-30T10:26:17"/>
    <d v="1899-12-30T18:01:41"/>
    <d v="1899-12-30T07:35:24"/>
    <d v="1899-12-30T07:12:00"/>
    <d v="1899-12-30T00:23:24"/>
    <m/>
    <n v="3.012004098960621E-2"/>
    <n v="1.0541666666666667"/>
  </r>
  <r>
    <x v="81"/>
    <x v="1"/>
    <x v="4"/>
    <x v="6"/>
    <x v="0"/>
    <d v="1899-12-30T00:39:36"/>
    <d v="1899-12-30T09:32:52"/>
    <d v="1899-12-30T18:01:32"/>
    <d v="1899-12-30T08:28:40"/>
    <d v="1899-12-30T07:12:00"/>
    <d v="1899-12-30T01:16:40"/>
    <m/>
    <n v="7.7850589777195278E-2"/>
    <n v="1.1774691358024691"/>
  </r>
  <r>
    <x v="82"/>
    <x v="1"/>
    <x v="4"/>
    <x v="6"/>
    <x v="0"/>
    <d v="1899-12-30T00:52:32"/>
    <d v="1899-12-30T10:46:31"/>
    <d v="1899-12-30T18:07:54"/>
    <d v="1899-12-30T07:21:23"/>
    <d v="1899-12-30T07:12:00"/>
    <d v="1899-12-30T00:09:23"/>
    <m/>
    <n v="0.11901974851791716"/>
    <n v="1.0217206790123456"/>
  </r>
  <r>
    <x v="83"/>
    <x v="1"/>
    <x v="4"/>
    <x v="6"/>
    <x v="0"/>
    <d v="1899-12-30T00:55:33"/>
    <d v="1899-12-30T10:48:30"/>
    <d v="1899-12-30T18:01:46"/>
    <d v="1899-12-30T07:13:16"/>
    <d v="1899-12-30T07:12:00"/>
    <d v="1899-12-30T00:01:16"/>
    <m/>
    <n v="0.12821203262040312"/>
    <n v="1.0029320987654322"/>
  </r>
  <r>
    <x v="84"/>
    <x v="1"/>
    <x v="4"/>
    <x v="6"/>
    <x v="0"/>
    <d v="1899-12-30T00:57:11"/>
    <d v="1899-12-30T10:33:51"/>
    <d v="1899-12-30T18:01:24"/>
    <d v="1899-12-30T07:27:33"/>
    <d v="1899-12-30T07:12:00"/>
    <d v="1899-12-30T00:15:33"/>
    <m/>
    <n v="0.1277697091572636"/>
    <n v="1.0359953703703706"/>
  </r>
  <r>
    <x v="85"/>
    <x v="1"/>
    <x v="4"/>
    <x v="6"/>
    <x v="0"/>
    <d v="1899-12-30T01:02:08"/>
    <d v="1899-12-30T11:10:28"/>
    <d v="1899-12-30T18:07:46"/>
    <d v="1899-12-30T06:57:18"/>
    <d v="1899-12-30T07:12:00"/>
    <m/>
    <d v="1899-12-30T00:14:42"/>
    <n v="0.14889368160396199"/>
    <n v="0.96597222222222223"/>
  </r>
  <r>
    <x v="86"/>
    <x v="1"/>
    <x v="4"/>
    <x v="6"/>
    <x v="0"/>
    <d v="1899-12-30T00:57:37"/>
    <d v="1899-12-30T10:58:38"/>
    <d v="1899-12-30T18:00:50"/>
    <d v="1899-12-30T07:02:12"/>
    <d v="1899-12-30T07:12:00"/>
    <m/>
    <d v="1899-12-30T00:09:48"/>
    <n v="0.13646770882678033"/>
    <n v="0.97731481481481497"/>
  </r>
  <r>
    <x v="87"/>
    <x v="1"/>
    <x v="4"/>
    <x v="6"/>
    <x v="0"/>
    <d v="1899-12-30T01:00:43"/>
    <d v="1899-12-30T10:40:04"/>
    <d v="1899-12-30T18:02:30"/>
    <d v="1899-12-30T07:22:26"/>
    <d v="1899-12-30T07:12:00"/>
    <d v="1899-12-30T00:10:26"/>
    <m/>
    <n v="0.13723348150380468"/>
    <n v="1.0241512345679014"/>
  </r>
  <r>
    <x v="88"/>
    <x v="1"/>
    <x v="4"/>
    <x v="6"/>
    <x v="0"/>
    <d v="1899-12-30T01:01:18"/>
    <d v="1899-12-30T10:47:31"/>
    <d v="1899-12-30T18:05:56"/>
    <d v="1899-12-30T07:18:25"/>
    <d v="1899-12-30T07:12:00"/>
    <d v="1899-12-30T00:06:25"/>
    <m/>
    <n v="0.139821326743965"/>
    <n v="1.0148533950617287"/>
  </r>
  <r>
    <x v="89"/>
    <x v="1"/>
    <x v="4"/>
    <x v="6"/>
    <x v="0"/>
    <d v="1899-12-30T00:55:52"/>
    <d v="1899-12-30T10:49:37"/>
    <d v="1899-12-30T18:03:36"/>
    <d v="1899-12-30T07:13:59"/>
    <d v="1899-12-30T07:12:00"/>
    <d v="1899-12-30T00:01:59"/>
    <m/>
    <n v="0.1287299819501517"/>
    <n v="1.0045910493827159"/>
  </r>
  <r>
    <x v="90"/>
    <x v="1"/>
    <x v="4"/>
    <x v="6"/>
    <x v="0"/>
    <d v="1899-12-30T01:05:08"/>
    <d v="1899-12-30T10:49:16"/>
    <d v="1899-12-30T18:01:35"/>
    <d v="1899-12-30T07:12:19"/>
    <d v="1899-12-30T07:12:00"/>
    <d v="1899-12-30T00:00:19"/>
    <m/>
    <n v="0.15066116658313738"/>
    <n v="1.0007330246913579"/>
  </r>
  <r>
    <x v="91"/>
    <x v="1"/>
    <x v="4"/>
    <x v="6"/>
    <x v="0"/>
    <d v="1899-12-30T00:56:00"/>
    <d v="1899-12-30T10:52:46"/>
    <d v="1899-12-30T18:03:29"/>
    <d v="1899-12-30T07:10:43"/>
    <d v="1899-12-30T07:12:00"/>
    <m/>
    <d v="1899-12-30T00:01:17"/>
    <n v="0.13001586503114965"/>
    <n v="0.99702932098765429"/>
  </r>
  <r>
    <x v="69"/>
    <x v="1"/>
    <x v="3"/>
    <x v="7"/>
    <x v="0"/>
    <d v="1899-12-30T00:56:34"/>
    <d v="1899-12-30T08:00:00"/>
    <d v="1899-12-30T15:12:37"/>
    <d v="1899-12-30T07:12:37"/>
    <d v="1899-12-30T07:12:00"/>
    <d v="1899-12-30T00:00:37"/>
    <m/>
    <n v="0.13075470971221634"/>
    <n v="1.0014274691358025"/>
  </r>
  <r>
    <x v="70"/>
    <x v="1"/>
    <x v="3"/>
    <x v="7"/>
    <x v="0"/>
    <d v="1899-12-30T01:09:10"/>
    <d v="1899-12-30T08:00:00"/>
    <d v="1899-12-30T15:13:02"/>
    <d v="1899-12-30T07:13:02"/>
    <d v="1899-12-30T07:12:00"/>
    <d v="1899-12-30T00:01:02"/>
    <m/>
    <n v="0.15972596412901238"/>
    <n v="1.0023919753086421"/>
  </r>
  <r>
    <x v="71"/>
    <x v="1"/>
    <x v="3"/>
    <x v="7"/>
    <x v="0"/>
    <d v="1899-12-30T00:49:31"/>
    <d v="1899-12-30T08:00:28"/>
    <d v="1899-12-30T15:12:20"/>
    <d v="1899-12-30T07:11:52"/>
    <d v="1899-12-30T07:12:00"/>
    <m/>
    <d v="1899-12-30T00:00:08"/>
    <n v="0.1146573016363075"/>
    <n v="0.99969135802469156"/>
  </r>
  <r>
    <x v="72"/>
    <x v="1"/>
    <x v="3"/>
    <x v="7"/>
    <x v="0"/>
    <d v="1899-12-30T00:51:16"/>
    <d v="1899-12-30T08:00:16"/>
    <d v="1899-12-30T15:12:50"/>
    <d v="1899-12-30T07:12:34"/>
    <d v="1899-12-30T07:12:00"/>
    <d v="1899-12-30T00:00:34"/>
    <m/>
    <n v="0.11851737689758803"/>
    <n v="1.0013117283950619"/>
  </r>
  <r>
    <x v="73"/>
    <x v="1"/>
    <x v="3"/>
    <x v="7"/>
    <x v="0"/>
    <d v="1899-12-30T00:59:33"/>
    <d v="1899-12-30T08:00:00"/>
    <d v="1899-12-30T15:12:14"/>
    <d v="1899-12-30T07:12:14"/>
    <d v="1899-12-30T07:12:00"/>
    <d v="1899-12-30T00:00:14"/>
    <m/>
    <n v="0.13777280789696919"/>
    <n v="1.0005401234567903"/>
  </r>
  <r>
    <x v="74"/>
    <x v="1"/>
    <x v="3"/>
    <x v="7"/>
    <x v="0"/>
    <d v="1899-12-30T00:59:25"/>
    <d v="1899-12-30T08:00:00"/>
    <d v="1899-12-30T15:12:18"/>
    <d v="1899-12-30T07:12:18"/>
    <d v="1899-12-30T07:12:00"/>
    <d v="1899-12-30T00:00:18"/>
    <m/>
    <n v="0.13744313362633973"/>
    <n v="1.0006944444444446"/>
  </r>
  <r>
    <x v="75"/>
    <x v="1"/>
    <x v="3"/>
    <x v="7"/>
    <x v="0"/>
    <d v="1899-12-30T00:50:30"/>
    <d v="1899-12-30T08:00:00"/>
    <d v="1899-12-30T16:01:18"/>
    <d v="1899-12-30T08:01:18"/>
    <d v="1899-12-30T07:12:00"/>
    <d v="1899-12-30T00:49:18"/>
    <m/>
    <n v="0.10492416372324953"/>
    <n v="1.1141203703703704"/>
  </r>
  <r>
    <x v="76"/>
    <x v="1"/>
    <x v="3"/>
    <x v="7"/>
    <x v="0"/>
    <d v="1899-12-30T00:34:03"/>
    <d v="1899-12-30T08:00:00"/>
    <d v="1899-12-30T15:13:07"/>
    <d v="1899-12-30T07:13:07"/>
    <d v="1899-12-30T07:12:00"/>
    <d v="1899-12-30T00:01:07"/>
    <m/>
    <n v="7.8616231192519329E-2"/>
    <n v="1.0025848765432102"/>
  </r>
  <r>
    <x v="77"/>
    <x v="1"/>
    <x v="3"/>
    <x v="7"/>
    <x v="0"/>
    <d v="1899-12-30T00:48:09"/>
    <d v="1899-12-30T08:00:00"/>
    <d v="1899-12-30T15:53:10"/>
    <d v="1899-12-30T07:53:10"/>
    <d v="1899-12-30T07:12:00"/>
    <d v="1899-12-30T00:41:10"/>
    <m/>
    <n v="0.1017611835153223"/>
    <n v="1.0952932098765431"/>
  </r>
  <r>
    <x v="78"/>
    <x v="1"/>
    <x v="3"/>
    <x v="7"/>
    <x v="0"/>
    <d v="1899-12-30T01:07:54"/>
    <d v="1899-12-30T08:00:00"/>
    <d v="1899-12-30T16:01:50"/>
    <d v="1899-12-30T08:01:50"/>
    <d v="1899-12-30T07:12:00"/>
    <d v="1899-12-30T00:49:50"/>
    <m/>
    <n v="0.14092009685230025"/>
    <n v="1.115354938271605"/>
  </r>
  <r>
    <x v="79"/>
    <x v="1"/>
    <x v="4"/>
    <x v="7"/>
    <x v="0"/>
    <d v="1899-12-30T00:48:59"/>
    <d v="1899-12-30T08:00:28"/>
    <d v="1899-12-30T15:14:15"/>
    <d v="1899-12-30T07:13:47"/>
    <d v="1899-12-30T07:12:00"/>
    <d v="1899-12-30T00:01:47"/>
    <m/>
    <n v="0.11292119721827333"/>
    <n v="1.004128086419753"/>
  </r>
  <r>
    <x v="80"/>
    <x v="1"/>
    <x v="4"/>
    <x v="7"/>
    <x v="0"/>
    <d v="1899-12-30T01:12:33"/>
    <d v="1899-12-30T08:00:00"/>
    <d v="1899-12-30T15:12:26"/>
    <d v="1899-12-30T07:12:26"/>
    <d v="1899-12-30T07:12:00"/>
    <d v="1899-12-30T00:00:26"/>
    <m/>
    <n v="0.16777152547598856"/>
    <n v="1.0010030864197534"/>
  </r>
  <r>
    <x v="81"/>
    <x v="1"/>
    <x v="4"/>
    <x v="7"/>
    <x v="0"/>
    <d v="1899-12-30T00:54:03"/>
    <d v="1899-12-30T08:00:00"/>
    <d v="1899-12-30T15:59:49"/>
    <d v="1899-12-30T07:59:49"/>
    <d v="1899-12-30T07:12:00"/>
    <d v="1899-12-30T00:47:49"/>
    <m/>
    <n v="0.11264719163569417"/>
    <n v="1.1106867283950619"/>
  </r>
  <r>
    <x v="82"/>
    <x v="1"/>
    <x v="4"/>
    <x v="7"/>
    <x v="0"/>
    <d v="1899-12-30T00:55:53"/>
    <d v="1899-12-30T08:00:26"/>
    <d v="1899-12-30T15:12:22"/>
    <d v="1899-12-30T07:11:56"/>
    <d v="1899-12-30T07:12:00"/>
    <m/>
    <d v="1899-12-30T00:00:04"/>
    <n v="0.12937953387868498"/>
    <n v="0.99984567901234556"/>
  </r>
  <r>
    <x v="83"/>
    <x v="1"/>
    <x v="4"/>
    <x v="7"/>
    <x v="0"/>
    <d v="1899-12-30T00:54:59"/>
    <d v="1899-12-30T08:00:00"/>
    <d v="1899-12-30T15:59:55"/>
    <d v="1899-12-30T07:59:55"/>
    <d v="1899-12-30T07:12:00"/>
    <d v="1899-12-30T00:47:55"/>
    <m/>
    <n v="0.11456850147595066"/>
    <n v="1.1109182098765433"/>
  </r>
  <r>
    <x v="84"/>
    <x v="1"/>
    <x v="4"/>
    <x v="7"/>
    <x v="0"/>
    <d v="1899-12-30T00:50:49"/>
    <d v="1899-12-30T08:00:13"/>
    <d v="1899-12-30T16:01:20"/>
    <d v="1899-12-30T08:01:07"/>
    <d v="1899-12-30T07:12:00"/>
    <d v="1899-12-30T00:49:07"/>
    <m/>
    <n v="0.10562233692451588"/>
    <n v="1.1136959876543211"/>
  </r>
  <r>
    <x v="85"/>
    <x v="1"/>
    <x v="4"/>
    <x v="7"/>
    <x v="0"/>
    <d v="1899-12-30T00:48:53"/>
    <d v="1899-12-30T08:00:07"/>
    <d v="1899-12-30T15:12:42"/>
    <d v="1899-12-30T07:12:35"/>
    <d v="1899-12-30T07:12:00"/>
    <d v="1899-12-30T00:00:35"/>
    <m/>
    <n v="0.1130032748988634"/>
    <n v="1.0013503086419755"/>
  </r>
  <r>
    <x v="86"/>
    <x v="1"/>
    <x v="4"/>
    <x v="7"/>
    <x v="0"/>
    <d v="1899-12-30T00:52:31"/>
    <d v="1899-12-30T08:03:04"/>
    <d v="1899-12-30T15:13:31"/>
    <d v="1899-12-30T07:10:27"/>
    <d v="1899-12-30T07:12:00"/>
    <m/>
    <d v="1899-12-30T00:01:33"/>
    <n v="0.12200410423200528"/>
    <n v="0.99641203703703707"/>
  </r>
  <r>
    <x v="87"/>
    <x v="1"/>
    <x v="4"/>
    <x v="7"/>
    <x v="0"/>
    <d v="1899-12-30T00:51:03"/>
    <d v="1899-12-30T08:00:00"/>
    <d v="1899-12-30T15:12:35"/>
    <d v="1899-12-30T07:12:35"/>
    <d v="1899-12-30T07:12:00"/>
    <d v="1899-12-30T00:00:35"/>
    <m/>
    <n v="0.11801194374879599"/>
    <n v="1.0013503086419753"/>
  </r>
  <r>
    <x v="88"/>
    <x v="1"/>
    <x v="4"/>
    <x v="7"/>
    <x v="0"/>
    <d v="1899-12-30T00:49:58"/>
    <d v="1899-12-30T08:00:22"/>
    <d v="1899-12-30T16:00:35"/>
    <d v="1899-12-30T08:00:13"/>
    <d v="1899-12-30T07:12:00"/>
    <d v="1899-12-30T00:48:13"/>
    <m/>
    <n v="0.10405025509318712"/>
    <n v="1.1116126543209877"/>
  </r>
  <r>
    <x v="89"/>
    <x v="1"/>
    <x v="4"/>
    <x v="7"/>
    <x v="0"/>
    <d v="1899-12-30T00:56:24"/>
    <d v="1899-12-30T08:01:08"/>
    <d v="1899-12-30T15:13:02"/>
    <d v="1899-12-30T07:11:54"/>
    <d v="1899-12-30T07:12:00"/>
    <m/>
    <d v="1899-12-30T00:00:06"/>
    <n v="0.13058578374623755"/>
    <n v="0.99976851851851867"/>
  </r>
  <r>
    <x v="90"/>
    <x v="1"/>
    <x v="4"/>
    <x v="7"/>
    <x v="0"/>
    <d v="1899-12-30T00:57:08"/>
    <d v="1899-12-30T08:00:00"/>
    <d v="1899-12-30T15:13:17"/>
    <d v="1899-12-30T07:13:17"/>
    <d v="1899-12-30T07:12:00"/>
    <d v="1899-12-30T00:01:17"/>
    <m/>
    <n v="0.13186136861945608"/>
    <n v="1.0029706790123458"/>
  </r>
  <r>
    <x v="91"/>
    <x v="1"/>
    <x v="4"/>
    <x v="7"/>
    <x v="0"/>
    <d v="1899-12-30T00:48:11"/>
    <d v="1899-12-30T08:00:00"/>
    <d v="1899-12-30T15:12:33"/>
    <d v="1899-12-30T07:12:33"/>
    <d v="1899-12-30T07:12:00"/>
    <d v="1899-12-30T00:00:33"/>
    <m/>
    <n v="0.11139367317843793"/>
    <n v="1.0012731481481483"/>
  </r>
  <r>
    <x v="79"/>
    <x v="1"/>
    <x v="4"/>
    <x v="19"/>
    <x v="0"/>
    <d v="1899-12-30T01:13:58"/>
    <d v="1899-12-30T11:21:09"/>
    <d v="1899-12-30T18:01:17"/>
    <d v="1899-12-30T06:40:08"/>
    <d v="1899-12-30T07:12:00"/>
    <m/>
    <d v="1899-12-30T00:31:52"/>
    <n v="0.18485504831722763"/>
    <n v="0.92623456790123448"/>
  </r>
  <r>
    <x v="80"/>
    <x v="1"/>
    <x v="4"/>
    <x v="19"/>
    <x v="0"/>
    <d v="1899-12-30T01:22:44"/>
    <d v="1899-12-30T10:43:28"/>
    <d v="1899-12-30T18:02:52"/>
    <d v="1899-12-30T07:19:24"/>
    <d v="1899-12-30T07:12:00"/>
    <d v="1899-12-30T00:07:24"/>
    <m/>
    <n v="0.18828705810954327"/>
    <n v="1.0171296296296299"/>
  </r>
  <r>
    <x v="81"/>
    <x v="1"/>
    <x v="4"/>
    <x v="19"/>
    <x v="0"/>
    <d v="1899-12-30T00:59:40"/>
    <d v="1899-12-30T08:01:40"/>
    <d v="1899-12-30T15:16:29"/>
    <d v="1899-12-30T07:14:49"/>
    <d v="1899-12-30T07:12:00"/>
    <d v="1899-12-30T00:02:49"/>
    <m/>
    <n v="0.13722258423090189"/>
    <n v="1.0065200617283951"/>
  </r>
  <r>
    <x v="82"/>
    <x v="1"/>
    <x v="4"/>
    <x v="19"/>
    <x v="0"/>
    <d v="1899-12-30T01:21:55"/>
    <d v="1899-12-30T08:00:41"/>
    <d v="1899-12-30T15:34:14"/>
    <d v="1899-12-30T07:33:33"/>
    <d v="1899-12-30T07:12:00"/>
    <d v="1899-12-30T00:21:33"/>
    <m/>
    <n v="0.18061220740087458"/>
    <n v="1.0498842592592592"/>
  </r>
  <r>
    <x v="83"/>
    <x v="1"/>
    <x v="4"/>
    <x v="19"/>
    <x v="0"/>
    <d v="1899-12-30T01:02:55"/>
    <d v="1899-12-30T08:01:26"/>
    <d v="1899-12-30T15:36:26"/>
    <d v="1899-12-30T07:35:00"/>
    <d v="1899-12-30T07:12:00"/>
    <d v="1899-12-30T00:23:00"/>
    <m/>
    <n v="0.13827838827838829"/>
    <n v="1.0532407407407407"/>
  </r>
  <r>
    <x v="84"/>
    <x v="1"/>
    <x v="4"/>
    <x v="19"/>
    <x v="0"/>
    <d v="1899-12-30T01:00:39"/>
    <d v="1899-12-30T08:03:26"/>
    <d v="1899-12-30T15:12:00"/>
    <d v="1899-12-30T07:08:34"/>
    <d v="1899-12-30T07:12:00"/>
    <m/>
    <d v="1899-12-30T00:03:26"/>
    <n v="0.14151823909154548"/>
    <n v="0.99205246913580236"/>
  </r>
  <r>
    <x v="85"/>
    <x v="1"/>
    <x v="4"/>
    <x v="19"/>
    <x v="0"/>
    <d v="1899-12-30T00:59:19"/>
    <d v="1899-12-30T08:00:57"/>
    <d v="1899-12-30T15:13:33"/>
    <d v="1899-12-30T07:12:36"/>
    <d v="1899-12-30T07:12:00"/>
    <d v="1899-12-30T00:00:36"/>
    <m/>
    <n v="0.13711665896131911"/>
    <n v="1.0013888888888891"/>
  </r>
  <r>
    <x v="86"/>
    <x v="1"/>
    <x v="4"/>
    <x v="19"/>
    <x v="0"/>
    <d v="1899-12-30T00:52:05"/>
    <d v="1899-12-30T08:16:45"/>
    <d v="1899-12-30T15:16:55"/>
    <d v="1899-12-30T07:00:10"/>
    <d v="1899-12-30T07:12:00"/>
    <m/>
    <d v="1899-12-30T00:11:50"/>
    <n v="0.1239587465291551"/>
    <n v="0.9726080246913581"/>
  </r>
  <r>
    <x v="87"/>
    <x v="1"/>
    <x v="4"/>
    <x v="19"/>
    <x v="0"/>
    <d v="1899-12-30T00:57:10"/>
    <d v="1899-12-30T08:09:34"/>
    <d v="1899-12-30T15:13:30"/>
    <d v="1899-12-30T07:03:56"/>
    <d v="1899-12-30T07:12:00"/>
    <m/>
    <d v="1899-12-30T00:08:04"/>
    <n v="0.13484824657965086"/>
    <n v="0.98132716049382729"/>
  </r>
  <r>
    <x v="88"/>
    <x v="1"/>
    <x v="4"/>
    <x v="19"/>
    <x v="0"/>
    <d v="1899-12-30T01:19:22"/>
    <d v="1899-12-30T08:20:29"/>
    <d v="1899-12-30T15:14:35"/>
    <d v="1899-12-30T06:54:06"/>
    <d v="1899-12-30T07:12:00"/>
    <m/>
    <d v="1899-12-30T00:17:54"/>
    <n v="0.19166062947758195"/>
    <n v="0.95856481481481459"/>
  </r>
  <r>
    <x v="89"/>
    <x v="1"/>
    <x v="4"/>
    <x v="19"/>
    <x v="0"/>
    <d v="1899-12-30T00:36:12"/>
    <d v="1899-12-30T08:17:07"/>
    <d v="1899-12-30T10:37:15"/>
    <d v="1899-12-30T02:20:08"/>
    <d v="1899-12-30T07:12:00"/>
    <m/>
    <d v="1899-12-30T04:51:52"/>
    <n v="0.25832540437678403"/>
    <n v="0.32438271604938268"/>
  </r>
  <r>
    <x v="90"/>
    <x v="1"/>
    <x v="4"/>
    <x v="19"/>
    <x v="0"/>
    <d v="1899-12-30T01:05:20"/>
    <d v="1899-12-30T08:09:31"/>
    <d v="1899-12-30T15:20:15"/>
    <d v="1899-12-30T07:10:44"/>
    <d v="1899-12-30T07:12:00"/>
    <m/>
    <d v="1899-12-30T00:01:16"/>
    <n v="0.1516793066088841"/>
    <n v="0.9970679012345679"/>
  </r>
  <r>
    <x v="91"/>
    <x v="1"/>
    <x v="4"/>
    <x v="19"/>
    <x v="0"/>
    <d v="1899-12-30T01:21:15"/>
    <d v="1899-12-30T08:03:06"/>
    <d v="1899-12-30T15:23:59"/>
    <d v="1899-12-30T07:20:53"/>
    <d v="1899-12-30T07:12:00"/>
    <d v="1899-12-30T00:08:53"/>
    <m/>
    <n v="0.18428911654632746"/>
    <n v="1.0205632716049382"/>
  </r>
  <r>
    <x v="69"/>
    <x v="1"/>
    <x v="3"/>
    <x v="20"/>
    <x v="3"/>
    <d v="1899-12-30T01:23:38"/>
    <d v="1899-12-30T10:50:22"/>
    <d v="1899-12-30T18:02:08"/>
    <d v="1899-12-30T07:11:46"/>
    <d v="1899-12-30T07:12:00"/>
    <m/>
    <d v="1899-12-30T00:00:14"/>
    <n v="0.19370030108855088"/>
    <n v="0.99945987654321"/>
  </r>
  <r>
    <x v="70"/>
    <x v="1"/>
    <x v="3"/>
    <x v="20"/>
    <x v="3"/>
    <d v="1899-12-30T00:58:13"/>
    <d v="1899-12-30T10:47:34"/>
    <d v="1899-12-30T18:01:28"/>
    <d v="1899-12-30T07:13:54"/>
    <d v="1899-12-30T07:12:00"/>
    <d v="1899-12-30T00:01:54"/>
    <m/>
    <n v="0.13417069985403701"/>
    <n v="1.0043981481481483"/>
  </r>
  <r>
    <x v="71"/>
    <x v="1"/>
    <x v="3"/>
    <x v="20"/>
    <x v="3"/>
    <d v="1899-12-30T00:49:49"/>
    <d v="1899-12-30T10:16:15"/>
    <d v="1899-12-30T14:27:40"/>
    <d v="1899-12-30T04:11:25"/>
    <d v="1899-12-30T07:12:00"/>
    <m/>
    <d v="1899-12-30T03:00:35"/>
    <n v="0.19814385150812064"/>
    <n v="0.5819830246913581"/>
  </r>
  <r>
    <x v="72"/>
    <x v="1"/>
    <x v="3"/>
    <x v="20"/>
    <x v="3"/>
    <d v="1899-12-30T01:07:17"/>
    <d v="1899-12-30T10:50:00"/>
    <d v="1899-12-30T18:02:56"/>
    <d v="1899-12-30T07:12:56"/>
    <d v="1899-12-30T07:12:00"/>
    <d v="1899-12-30T00:00:56"/>
    <m/>
    <n v="0.15541268863566368"/>
    <n v="1.0021604938271607"/>
  </r>
  <r>
    <x v="73"/>
    <x v="1"/>
    <x v="3"/>
    <x v="20"/>
    <x v="3"/>
    <d v="1899-12-30T01:05:55"/>
    <d v="1899-12-30T10:48:49"/>
    <d v="1899-12-30T18:01:28"/>
    <d v="1899-12-30T07:12:39"/>
    <d v="1899-12-30T07:12:00"/>
    <d v="1899-12-30T00:00:39"/>
    <m/>
    <n v="0.15235563773643052"/>
    <n v="1.0015046296296297"/>
  </r>
  <r>
    <x v="74"/>
    <x v="1"/>
    <x v="3"/>
    <x v="20"/>
    <x v="3"/>
    <d v="1899-12-30T00:58:40"/>
    <d v="1899-12-30T10:50:19"/>
    <d v="1899-12-30T18:02:15"/>
    <d v="1899-12-30T07:11:56"/>
    <d v="1899-12-30T07:12:00"/>
    <m/>
    <d v="1899-12-30T00:00:04"/>
    <n v="0.13582342954159593"/>
    <n v="0.99984567901234578"/>
  </r>
  <r>
    <x v="75"/>
    <x v="1"/>
    <x v="3"/>
    <x v="20"/>
    <x v="3"/>
    <d v="1899-12-30T01:07:19"/>
    <d v="1899-12-30T10:49:06"/>
    <d v="1899-12-30T18:05:35"/>
    <d v="1899-12-30T07:16:29"/>
    <d v="1899-12-30T07:12:00"/>
    <d v="1899-12-30T00:04:29"/>
    <m/>
    <n v="0.1542250563213563"/>
    <n v="1.0103780864197529"/>
  </r>
  <r>
    <x v="76"/>
    <x v="1"/>
    <x v="3"/>
    <x v="20"/>
    <x v="3"/>
    <d v="1899-12-30T01:24:41"/>
    <d v="1899-12-30T08:52:50"/>
    <d v="1899-12-30T18:01:02"/>
    <d v="1899-12-30T09:08:12"/>
    <d v="1899-12-30T07:12:00"/>
    <d v="1899-12-30T01:56:12"/>
    <m/>
    <n v="0.15447525234099474"/>
    <n v="1.2689814814814817"/>
  </r>
  <r>
    <x v="77"/>
    <x v="1"/>
    <x v="3"/>
    <x v="20"/>
    <x v="3"/>
    <d v="1899-12-30T01:13:18"/>
    <d v="1899-12-30T08:27:50"/>
    <d v="1899-12-30T18:00:23"/>
    <d v="1899-12-30T09:32:33"/>
    <d v="1899-12-30T07:12:00"/>
    <d v="1899-12-30T02:20:33"/>
    <m/>
    <n v="0.12802375338398395"/>
    <n v="1.3253472222222222"/>
  </r>
  <r>
    <x v="78"/>
    <x v="1"/>
    <x v="3"/>
    <x v="20"/>
    <x v="3"/>
    <d v="1899-12-30T01:01:16"/>
    <d v="1899-12-30T09:33:48"/>
    <d v="1899-12-30T18:01:13"/>
    <d v="1899-12-30T08:27:25"/>
    <d v="1899-12-30T07:12:00"/>
    <d v="1899-12-30T01:15:25"/>
    <m/>
    <n v="0.12074232222039745"/>
    <n v="1.1745756172839505"/>
  </r>
  <r>
    <x v="79"/>
    <x v="1"/>
    <x v="4"/>
    <x v="20"/>
    <x v="0"/>
    <d v="1899-12-30T01:07:41"/>
    <d v="1899-12-30T10:50:51"/>
    <d v="1899-12-30T18:05:00"/>
    <d v="1899-12-30T07:14:09"/>
    <d v="1899-12-30T07:12:00"/>
    <d v="1899-12-30T00:02:09"/>
    <m/>
    <n v="0.15589849898268648"/>
    <n v="1.0049768518518518"/>
  </r>
  <r>
    <x v="80"/>
    <x v="1"/>
    <x v="4"/>
    <x v="20"/>
    <x v="0"/>
    <d v="1899-12-30T00:08:58"/>
    <d v="1899-12-30T10:49:32"/>
    <d v="1899-12-30T18:00:00"/>
    <d v="1899-12-30T07:10:28"/>
    <d v="1899-12-30T07:12:00"/>
    <m/>
    <d v="1899-12-30T00:01:32"/>
    <n v="2.0830106860771254E-2"/>
    <n v="0.99645061728395068"/>
  </r>
  <r>
    <x v="81"/>
    <x v="1"/>
    <x v="4"/>
    <x v="20"/>
    <x v="0"/>
    <d v="1899-12-30T00:46:20"/>
    <d v="1899-12-30T10:51:24"/>
    <d v="1899-12-30T18:07:12"/>
    <d v="1899-12-30T07:15:48"/>
    <d v="1899-12-30T07:12:00"/>
    <d v="1899-12-30T00:03:48"/>
    <m/>
    <n v="0.10631788282086584"/>
    <n v="1.0087962962962964"/>
  </r>
  <r>
    <x v="82"/>
    <x v="1"/>
    <x v="4"/>
    <x v="20"/>
    <x v="0"/>
    <d v="1899-12-30T01:06:28"/>
    <d v="1899-12-30T10:49:29"/>
    <d v="1899-12-30T18:02:37"/>
    <d v="1899-12-30T07:13:08"/>
    <d v="1899-12-30T07:12:00"/>
    <d v="1899-12-30T00:01:08"/>
    <m/>
    <n v="0.15345544097275662"/>
    <n v="1.0026234567901235"/>
  </r>
  <r>
    <x v="84"/>
    <x v="1"/>
    <x v="4"/>
    <x v="20"/>
    <x v="0"/>
    <d v="1899-12-30T01:12:41"/>
    <d v="1899-12-30T10:50:57"/>
    <d v="1899-12-30T18:00:23"/>
    <d v="1899-12-30T07:09:26"/>
    <d v="1899-12-30T07:12:00"/>
    <m/>
    <d v="1899-12-30T00:02:34"/>
    <n v="0.16925405573236049"/>
    <n v="0.99405864197530858"/>
  </r>
  <r>
    <x v="85"/>
    <x v="1"/>
    <x v="4"/>
    <x v="20"/>
    <x v="0"/>
    <d v="1899-12-30T01:13:53"/>
    <d v="1899-12-30T11:05:11"/>
    <d v="1899-12-30T18:00:50"/>
    <d v="1899-12-30T06:55:39"/>
    <d v="1899-12-30T07:12:00"/>
    <m/>
    <d v="1899-12-30T00:16:21"/>
    <n v="0.1777537190745419"/>
    <n v="0.96215277777777775"/>
  </r>
  <r>
    <x v="86"/>
    <x v="1"/>
    <x v="4"/>
    <x v="20"/>
    <x v="0"/>
    <d v="1899-12-30T01:09:45"/>
    <d v="1899-12-30T10:57:04"/>
    <d v="1899-12-30T18:02:00"/>
    <d v="1899-12-30T07:04:56"/>
    <d v="1899-12-30T07:12:00"/>
    <m/>
    <d v="1899-12-30T00:07:04"/>
    <n v="0.16414339504235961"/>
    <n v="0.98364197530864195"/>
  </r>
  <r>
    <x v="88"/>
    <x v="1"/>
    <x v="4"/>
    <x v="20"/>
    <x v="0"/>
    <d v="1899-12-30T00:53:02"/>
    <d v="1899-12-30T10:57:27"/>
    <d v="1899-12-30T18:01:15"/>
    <d v="1899-12-30T07:03:48"/>
    <d v="1899-12-30T07:12:00"/>
    <m/>
    <d v="1899-12-30T00:08:12"/>
    <n v="0.1251376435425515"/>
    <n v="0.98101851851851873"/>
  </r>
  <r>
    <x v="89"/>
    <x v="1"/>
    <x v="4"/>
    <x v="20"/>
    <x v="0"/>
    <d v="1899-12-30T01:10:28"/>
    <d v="1899-12-30T10:50:09"/>
    <d v="1899-12-30T18:01:51"/>
    <d v="1899-12-30T07:11:42"/>
    <d v="1899-12-30T07:12:00"/>
    <m/>
    <d v="1899-12-30T00:00:18"/>
    <n v="0.16323063856072892"/>
    <n v="0.99930555555555545"/>
  </r>
  <r>
    <x v="90"/>
    <x v="1"/>
    <x v="4"/>
    <x v="20"/>
    <x v="0"/>
    <d v="1899-12-30T00:57:14"/>
    <d v="1899-12-30T10:48:22"/>
    <d v="1899-12-30T18:00:14"/>
    <d v="1899-12-30T07:11:52"/>
    <d v="1899-12-30T07:12:00"/>
    <m/>
    <d v="1899-12-30T00:00:08"/>
    <n v="0.13252547082432853"/>
    <n v="0.99969135802469122"/>
  </r>
  <r>
    <x v="91"/>
    <x v="1"/>
    <x v="4"/>
    <x v="20"/>
    <x v="0"/>
    <d v="1899-12-30T00:58:50"/>
    <d v="1899-12-30T10:55:40"/>
    <d v="1899-12-30T18:01:28"/>
    <d v="1899-12-30T07:05:48"/>
    <d v="1899-12-30T07:12:00"/>
    <m/>
    <d v="1899-12-30T00:06:12"/>
    <n v="0.1381712854235165"/>
    <n v="0.98564814814814827"/>
  </r>
  <r>
    <x v="69"/>
    <x v="1"/>
    <x v="3"/>
    <x v="21"/>
    <x v="0"/>
    <d v="1899-12-30T00:40:11"/>
    <d v="1899-12-30T10:47:24"/>
    <d v="1899-12-30T18:00:23"/>
    <d v="1899-12-30T07:12:59"/>
    <d v="1899-12-30T07:12:00"/>
    <d v="1899-12-30T00:00:59"/>
    <m/>
    <n v="9.2805727703144852E-2"/>
    <n v="1.0022762345679013"/>
  </r>
  <r>
    <x v="70"/>
    <x v="1"/>
    <x v="3"/>
    <x v="21"/>
    <x v="0"/>
    <d v="1899-12-30T00:48:02"/>
    <d v="1899-12-30T10:47:14"/>
    <d v="1899-12-30T18:00:20"/>
    <d v="1899-12-30T07:13:06"/>
    <d v="1899-12-30T07:12:00"/>
    <d v="1899-12-30T00:01:06"/>
    <m/>
    <n v="0.11090587239282693"/>
    <n v="1.0025462962962961"/>
  </r>
  <r>
    <x v="71"/>
    <x v="1"/>
    <x v="3"/>
    <x v="21"/>
    <x v="0"/>
    <d v="1899-12-30T01:07:25"/>
    <d v="1899-12-30T10:47:38"/>
    <d v="1899-12-30T18:03:26"/>
    <d v="1899-12-30T07:15:48"/>
    <d v="1899-12-30T07:12:00"/>
    <d v="1899-12-30T00:03:48"/>
    <m/>
    <n v="0.15469634388863396"/>
    <n v="1.0087962962962962"/>
  </r>
  <r>
    <x v="72"/>
    <x v="1"/>
    <x v="3"/>
    <x v="21"/>
    <x v="0"/>
    <d v="1899-12-30T00:44:15"/>
    <d v="1899-12-30T10:50:32"/>
    <d v="1899-12-30T18:00:31"/>
    <d v="1899-12-30T07:09:59"/>
    <d v="1899-12-30T07:12:00"/>
    <m/>
    <d v="1899-12-30T00:02:01"/>
    <n v="0.10291096554130004"/>
    <n v="0.99533179012345696"/>
  </r>
  <r>
    <x v="73"/>
    <x v="1"/>
    <x v="3"/>
    <x v="21"/>
    <x v="0"/>
    <d v="1899-12-30T00:45:04"/>
    <d v="1899-12-30T10:47:20"/>
    <d v="1899-12-30T18:01:59"/>
    <d v="1899-12-30T07:14:39"/>
    <d v="1899-12-30T07:12:00"/>
    <d v="1899-12-30T00:02:39"/>
    <m/>
    <n v="0.10368495724529313"/>
    <n v="1.0061342592592595"/>
  </r>
  <r>
    <x v="74"/>
    <x v="1"/>
    <x v="3"/>
    <x v="21"/>
    <x v="0"/>
    <d v="1899-12-30T01:02:38"/>
    <d v="1899-12-30T10:47:50"/>
    <d v="1899-12-30T18:00:25"/>
    <d v="1899-12-30T07:12:35"/>
    <d v="1899-12-30T07:12:00"/>
    <d v="1899-12-30T00:00:35"/>
    <m/>
    <n v="0.14478905798497399"/>
    <n v="1.0013503086419755"/>
  </r>
  <r>
    <x v="75"/>
    <x v="1"/>
    <x v="3"/>
    <x v="21"/>
    <x v="0"/>
    <d v="1899-12-30T00:52:02"/>
    <d v="1899-12-30T10:49:39"/>
    <d v="1899-12-30T18:00:52"/>
    <d v="1899-12-30T07:11:13"/>
    <d v="1899-12-30T07:12:00"/>
    <m/>
    <d v="1899-12-30T00:00:47"/>
    <n v="0.12066633169713605"/>
    <n v="0.99818672839506151"/>
  </r>
  <r>
    <x v="76"/>
    <x v="1"/>
    <x v="3"/>
    <x v="21"/>
    <x v="0"/>
    <d v="1899-12-30T00:55:30"/>
    <d v="1899-12-30T10:20:55"/>
    <d v="1899-12-30T18:00:44"/>
    <d v="1899-12-30T07:39:49"/>
    <d v="1899-12-30T07:12:00"/>
    <d v="1899-12-30T00:27:49"/>
    <m/>
    <n v="0.12070027909674146"/>
    <n v="1.0643904320987656"/>
  </r>
  <r>
    <x v="77"/>
    <x v="1"/>
    <x v="3"/>
    <x v="21"/>
    <x v="0"/>
    <d v="1899-12-30T01:06:38"/>
    <d v="1899-12-30T10:48:26"/>
    <d v="1899-12-30T18:00:45"/>
    <d v="1899-12-30T07:12:19"/>
    <d v="1899-12-30T07:12:00"/>
    <d v="1899-12-30T00:00:19"/>
    <m/>
    <n v="0.15413084544508271"/>
    <n v="1.0007330246913579"/>
  </r>
  <r>
    <x v="78"/>
    <x v="1"/>
    <x v="3"/>
    <x v="21"/>
    <x v="0"/>
    <d v="1899-12-30T01:08:02"/>
    <d v="1899-12-30T11:08:13"/>
    <d v="1899-12-30T18:00:31"/>
    <d v="1899-12-30T06:52:18"/>
    <d v="1899-12-30T07:12:00"/>
    <m/>
    <d v="1899-12-30T00:19:42"/>
    <n v="0.16500929743714121"/>
    <n v="0.95439814814814827"/>
  </r>
  <r>
    <x v="79"/>
    <x v="1"/>
    <x v="4"/>
    <x v="21"/>
    <x v="0"/>
    <d v="1899-12-30T00:49:01"/>
    <d v="1899-12-30T11:15:20"/>
    <d v="1899-12-30T18:00:36"/>
    <d v="1899-12-30T06:45:16"/>
    <d v="1899-12-30T07:12:00"/>
    <m/>
    <d v="1899-12-30T00:26:44"/>
    <n v="0.12094916927126173"/>
    <n v="0.93811728395061711"/>
  </r>
  <r>
    <x v="80"/>
    <x v="1"/>
    <x v="4"/>
    <x v="21"/>
    <x v="0"/>
    <d v="1899-12-30T01:07:28"/>
    <d v="1899-12-30T11:06:17"/>
    <d v="1899-12-30T18:00:46"/>
    <d v="1899-12-30T06:54:29"/>
    <d v="1899-12-30T07:12:00"/>
    <m/>
    <d v="1899-12-30T00:17:31"/>
    <n v="0.16277293015400696"/>
    <n v="0.95945216049382742"/>
  </r>
  <r>
    <x v="81"/>
    <x v="1"/>
    <x v="4"/>
    <x v="21"/>
    <x v="0"/>
    <d v="1899-12-30T00:45:06"/>
    <d v="1899-12-30T10:47:44"/>
    <d v="1899-12-30T18:00:13"/>
    <d v="1899-12-30T07:12:29"/>
    <d v="1899-12-30T07:12:00"/>
    <d v="1899-12-30T00:00:29"/>
    <m/>
    <n v="0.10428147520135651"/>
    <n v="1.0011188271604938"/>
  </r>
  <r>
    <x v="82"/>
    <x v="1"/>
    <x v="4"/>
    <x v="21"/>
    <x v="0"/>
    <d v="1899-12-30T00:54:45"/>
    <d v="1899-12-30T10:40:19"/>
    <d v="1899-12-30T18:01:32"/>
    <d v="1899-12-30T07:21:13"/>
    <d v="1899-12-30T07:12:00"/>
    <d v="1899-12-30T00:09:13"/>
    <m/>
    <n v="0.12408869414120045"/>
    <n v="1.02133487654321"/>
  </r>
  <r>
    <x v="83"/>
    <x v="1"/>
    <x v="4"/>
    <x v="21"/>
    <x v="0"/>
    <d v="1899-12-30T00:47:20"/>
    <d v="1899-12-30T10:22:50"/>
    <d v="1899-12-30T18:00:19"/>
    <d v="1899-12-30T07:37:29"/>
    <d v="1899-12-30T07:12:00"/>
    <d v="1899-12-30T00:25:29"/>
    <m/>
    <n v="0.10346460708951145"/>
    <n v="1.0589891975308643"/>
  </r>
  <r>
    <x v="84"/>
    <x v="1"/>
    <x v="4"/>
    <x v="21"/>
    <x v="0"/>
    <d v="1899-12-30T01:03:50"/>
    <d v="1899-12-30T10:23:38"/>
    <d v="1899-12-30T18:00:34"/>
    <d v="1899-12-30T07:36:56"/>
    <d v="1899-12-30T07:12:00"/>
    <d v="1899-12-30T00:24:56"/>
    <m/>
    <n v="0.13969944557922381"/>
    <n v="1.0577160493827162"/>
  </r>
  <r>
    <x v="85"/>
    <x v="1"/>
    <x v="4"/>
    <x v="21"/>
    <x v="0"/>
    <d v="1899-12-30T00:40:33"/>
    <d v="1899-12-30T11:02:20"/>
    <d v="1899-12-30T18:01:13"/>
    <d v="1899-12-30T06:58:53"/>
    <d v="1899-12-30T07:12:00"/>
    <m/>
    <d v="1899-12-30T00:13:07"/>
    <n v="9.6804997413758809E-2"/>
    <n v="0.96963734567901239"/>
  </r>
  <r>
    <x v="86"/>
    <x v="1"/>
    <x v="4"/>
    <x v="21"/>
    <x v="0"/>
    <d v="1899-12-30T00:36:11"/>
    <d v="1899-12-30T11:17:45"/>
    <d v="1899-12-30T18:01:40"/>
    <d v="1899-12-30T06:43:55"/>
    <d v="1899-12-30T07:12:00"/>
    <m/>
    <d v="1899-12-30T00:28:05"/>
    <n v="8.9581184237672778E-2"/>
    <n v="0.9349922839506174"/>
  </r>
  <r>
    <x v="87"/>
    <x v="1"/>
    <x v="4"/>
    <x v="21"/>
    <x v="0"/>
    <d v="1899-12-30T00:42:01"/>
    <d v="1899-12-30T10:54:24"/>
    <d v="1899-12-30T18:00:36"/>
    <d v="1899-12-30T07:06:12"/>
    <d v="1899-12-30T07:12:00"/>
    <m/>
    <d v="1899-12-30T00:05:48"/>
    <n v="9.8584389175660883E-2"/>
    <n v="0.98657407407407405"/>
  </r>
  <r>
    <x v="88"/>
    <x v="1"/>
    <x v="4"/>
    <x v="21"/>
    <x v="0"/>
    <d v="1899-12-30T00:43:45"/>
    <d v="1899-12-30T10:36:02"/>
    <d v="1899-12-30T18:00:33"/>
    <d v="1899-12-30T07:24:31"/>
    <d v="1899-12-30T07:12:00"/>
    <d v="1899-12-30T00:12:31"/>
    <m/>
    <n v="9.8421506505192935E-2"/>
    <n v="1.0289737654320985"/>
  </r>
  <r>
    <x v="89"/>
    <x v="1"/>
    <x v="4"/>
    <x v="21"/>
    <x v="0"/>
    <d v="1899-12-30T00:40:05"/>
    <d v="1899-12-30T10:49:12"/>
    <d v="1899-12-30T18:00:31"/>
    <d v="1899-12-30T07:11:19"/>
    <d v="1899-12-30T07:12:00"/>
    <m/>
    <d v="1899-12-30T00:00:41"/>
    <n v="9.2932493527570603E-2"/>
    <n v="0.99841820987654339"/>
  </r>
  <r>
    <x v="90"/>
    <x v="1"/>
    <x v="4"/>
    <x v="21"/>
    <x v="0"/>
    <d v="1899-12-30T00:41:59"/>
    <d v="1899-12-30T10:52:06"/>
    <d v="1899-12-30T18:00:37"/>
    <d v="1899-12-30T07:08:31"/>
    <d v="1899-12-30T07:12:00"/>
    <m/>
    <d v="1899-12-30T00:03:29"/>
    <n v="9.7973629963828704E-2"/>
    <n v="0.99193672839506186"/>
  </r>
  <r>
    <x v="91"/>
    <x v="1"/>
    <x v="4"/>
    <x v="21"/>
    <x v="0"/>
    <d v="1899-12-30T00:39:12"/>
    <d v="1899-12-30T10:48:26"/>
    <d v="1899-12-30T18:02:47"/>
    <d v="1899-12-30T07:14:21"/>
    <d v="1899-12-30T07:12:00"/>
    <d v="1899-12-30T00:02:21"/>
    <m/>
    <n v="9.0249798549556795E-2"/>
    <n v="1.0054398148148149"/>
  </r>
  <r>
    <x v="69"/>
    <x v="1"/>
    <x v="3"/>
    <x v="10"/>
    <x v="3"/>
    <d v="1899-12-30T01:38:51"/>
    <d v="1899-12-30T07:59:58"/>
    <d v="1899-12-30T15:12:19"/>
    <d v="1899-12-30T07:12:21"/>
    <d v="1899-12-30T07:12:00"/>
    <d v="1899-12-30T00:00:21"/>
    <m/>
    <n v="0.22863420839597551"/>
    <n v="1.0008101851851852"/>
  </r>
  <r>
    <x v="70"/>
    <x v="1"/>
    <x v="3"/>
    <x v="10"/>
    <x v="3"/>
    <d v="1899-12-30T01:22:54"/>
    <d v="1899-12-30T07:58:36"/>
    <d v="1899-12-30T15:12:16"/>
    <d v="1899-12-30T07:13:40"/>
    <d v="1899-12-30T07:12:00"/>
    <d v="1899-12-30T00:01:40"/>
    <m/>
    <n v="0.1911606456571868"/>
    <n v="1.003858024691358"/>
  </r>
  <r>
    <x v="71"/>
    <x v="1"/>
    <x v="3"/>
    <x v="10"/>
    <x v="3"/>
    <d v="1899-12-30T01:07:12"/>
    <d v="1899-12-30T08:01:16"/>
    <d v="1899-12-30T15:12:32"/>
    <d v="1899-12-30T07:11:16"/>
    <d v="1899-12-30T07:12:00"/>
    <m/>
    <d v="1899-12-30T00:00:44"/>
    <n v="0.15582006492502709"/>
    <n v="0.99830246913580223"/>
  </r>
  <r>
    <x v="72"/>
    <x v="1"/>
    <x v="3"/>
    <x v="10"/>
    <x v="3"/>
    <d v="1899-12-30T01:09:32"/>
    <d v="1899-12-30T08:43:48"/>
    <d v="1899-12-30T15:13:26"/>
    <d v="1899-12-30T06:29:38"/>
    <d v="1899-12-30T07:12:00"/>
    <m/>
    <d v="1899-12-30T00:42:22"/>
    <n v="0.178458379673197"/>
    <n v="0.90192901234567913"/>
  </r>
  <r>
    <x v="73"/>
    <x v="1"/>
    <x v="3"/>
    <x v="10"/>
    <x v="3"/>
    <d v="1899-12-30T01:19:57"/>
    <d v="1899-12-30T08:01:21"/>
    <d v="1899-12-30T15:12:24"/>
    <d v="1899-12-30T07:11:03"/>
    <d v="1899-12-30T07:12:00"/>
    <m/>
    <d v="1899-12-30T00:00:57"/>
    <n v="0.1854773228163786"/>
    <n v="0.99780092592592595"/>
  </r>
  <r>
    <x v="74"/>
    <x v="1"/>
    <x v="3"/>
    <x v="10"/>
    <x v="3"/>
    <d v="1899-12-30T01:26:04"/>
    <d v="1899-12-30T07:59:21"/>
    <d v="1899-12-30T16:12:01"/>
    <d v="1899-12-30T08:12:40"/>
    <d v="1899-12-30T07:12:00"/>
    <d v="1899-12-30T01:00:40"/>
    <m/>
    <n v="0.17469553450608932"/>
    <n v="1.1404320987654322"/>
  </r>
  <r>
    <x v="75"/>
    <x v="1"/>
    <x v="3"/>
    <x v="10"/>
    <x v="3"/>
    <d v="1899-12-30T01:35:03"/>
    <d v="1899-12-30T08:02:09"/>
    <d v="1899-12-30T15:43:13"/>
    <d v="1899-12-30T07:41:04"/>
    <d v="1899-12-30T07:12:00"/>
    <d v="1899-12-30T00:29:04"/>
    <m/>
    <n v="0.20615240023134757"/>
    <n v="1.067283950617284"/>
  </r>
  <r>
    <x v="76"/>
    <x v="1"/>
    <x v="3"/>
    <x v="10"/>
    <x v="3"/>
    <d v="1899-12-30T01:39:15"/>
    <d v="1899-12-30T07:59:02"/>
    <d v="1899-12-30T15:42:38"/>
    <d v="1899-12-30T07:43:36"/>
    <d v="1899-12-30T07:12:00"/>
    <d v="1899-12-30T00:31:36"/>
    <m/>
    <n v="0.21408541846419329"/>
    <n v="1.0731481481481482"/>
  </r>
  <r>
    <x v="77"/>
    <x v="1"/>
    <x v="3"/>
    <x v="10"/>
    <x v="3"/>
    <d v="1899-12-30T01:04:04"/>
    <d v="1899-12-30T08:00:00"/>
    <d v="1899-12-30T13:10:49"/>
    <d v="1899-12-30T05:10:49"/>
    <d v="1899-12-30T07:12:00"/>
    <m/>
    <d v="1899-12-30T02:01:11"/>
    <n v="0.20612365274277439"/>
    <n v="0.71948302469135805"/>
  </r>
  <r>
    <x v="78"/>
    <x v="1"/>
    <x v="3"/>
    <x v="10"/>
    <x v="3"/>
    <d v="1899-12-30T01:39:59"/>
    <d v="1899-12-30T07:59:22"/>
    <d v="1899-12-30T15:43:40"/>
    <d v="1899-12-30T07:44:18"/>
    <d v="1899-12-30T07:12:00"/>
    <d v="1899-12-30T00:32:18"/>
    <m/>
    <n v="0.21534209203819366"/>
    <n v="1.0747685185185187"/>
  </r>
  <r>
    <x v="79"/>
    <x v="1"/>
    <x v="4"/>
    <x v="10"/>
    <x v="3"/>
    <d v="1899-12-30T01:19:27"/>
    <d v="1899-12-30T08:00:00"/>
    <d v="1899-12-30T15:42:52"/>
    <d v="1899-12-30T07:42:52"/>
    <d v="1899-12-30T07:12:00"/>
    <d v="1899-12-30T00:30:52"/>
    <m/>
    <n v="0.17164770272216623"/>
    <n v="1.0714506172839506"/>
  </r>
  <r>
    <x v="80"/>
    <x v="1"/>
    <x v="4"/>
    <x v="10"/>
    <x v="3"/>
    <d v="1899-12-30T01:45:27"/>
    <d v="1899-12-30T08:00:00"/>
    <d v="1899-12-30T15:43:05"/>
    <d v="1899-12-30T07:43:05"/>
    <d v="1899-12-30T07:12:00"/>
    <d v="1899-12-30T00:31:05"/>
    <m/>
    <n v="0.22771279467338487"/>
    <n v="1.0719521604938274"/>
  </r>
  <r>
    <x v="81"/>
    <x v="1"/>
    <x v="4"/>
    <x v="10"/>
    <x v="3"/>
    <d v="1899-12-30T01:03:46"/>
    <d v="1899-12-30T08:00:00"/>
    <d v="1899-12-30T16:14:58"/>
    <d v="1899-12-30T08:14:58"/>
    <d v="1899-12-30T07:12:00"/>
    <d v="1899-12-30T01:02:58"/>
    <m/>
    <n v="0.12883022425752577"/>
    <n v="1.1457561728395063"/>
  </r>
  <r>
    <x v="82"/>
    <x v="1"/>
    <x v="4"/>
    <x v="10"/>
    <x v="3"/>
    <d v="1899-12-30T01:29:54"/>
    <d v="1899-12-30T08:00:00"/>
    <d v="1899-12-30T15:42:34"/>
    <d v="1899-12-30T07:42:34"/>
    <d v="1899-12-30T07:12:00"/>
    <d v="1899-12-30T00:30:34"/>
    <m/>
    <n v="0.19435036391150823"/>
    <n v="1.0707561728395063"/>
  </r>
  <r>
    <x v="83"/>
    <x v="1"/>
    <x v="4"/>
    <x v="10"/>
    <x v="3"/>
    <d v="1899-12-30T01:04:45"/>
    <d v="1899-12-30T08:00:00"/>
    <d v="1899-12-30T15:42:28"/>
    <d v="1899-12-30T07:42:28"/>
    <d v="1899-12-30T07:12:00"/>
    <d v="1899-12-30T00:30:28"/>
    <m/>
    <n v="0.14001009081735619"/>
    <n v="1.0705246913580249"/>
  </r>
  <r>
    <x v="84"/>
    <x v="1"/>
    <x v="4"/>
    <x v="10"/>
    <x v="3"/>
    <d v="1899-12-30T01:07:25"/>
    <d v="1899-12-30T08:00:07"/>
    <d v="1899-12-30T15:42:49"/>
    <d v="1899-12-30T07:42:42"/>
    <d v="1899-12-30T07:12:00"/>
    <d v="1899-12-30T00:30:42"/>
    <m/>
    <n v="0.14570275916720701"/>
    <n v="1.0710648148148147"/>
  </r>
  <r>
    <x v="85"/>
    <x v="1"/>
    <x v="4"/>
    <x v="10"/>
    <x v="3"/>
    <d v="1899-12-30T01:04:07"/>
    <d v="1899-12-30T08:00:00"/>
    <d v="1899-12-30T15:12:39"/>
    <d v="1899-12-30T07:12:39"/>
    <d v="1899-12-30T07:12:00"/>
    <d v="1899-12-30T00:00:39"/>
    <m/>
    <n v="0.1481952309410994"/>
    <n v="1.0015046296296299"/>
  </r>
  <r>
    <x v="86"/>
    <x v="1"/>
    <x v="4"/>
    <x v="10"/>
    <x v="3"/>
    <d v="1899-12-30T01:33:52"/>
    <d v="1899-12-30T08:00:23"/>
    <d v="1899-12-30T15:42:57"/>
    <d v="1899-12-30T07:42:34"/>
    <d v="1899-12-30T07:12:00"/>
    <d v="1899-12-30T00:30:34"/>
    <m/>
    <n v="0.20292570440296892"/>
    <n v="1.0707561728395063"/>
  </r>
  <r>
    <x v="87"/>
    <x v="1"/>
    <x v="4"/>
    <x v="10"/>
    <x v="3"/>
    <d v="1899-12-30T01:22:58"/>
    <d v="1899-12-30T08:01:21"/>
    <d v="1899-12-30T15:43:04"/>
    <d v="1899-12-30T07:41:43"/>
    <d v="1899-12-30T07:12:00"/>
    <d v="1899-12-30T00:29:43"/>
    <m/>
    <n v="0.17969173013753026"/>
    <n v="1.0687885802469135"/>
  </r>
  <r>
    <x v="88"/>
    <x v="1"/>
    <x v="4"/>
    <x v="10"/>
    <x v="3"/>
    <d v="1899-12-30T01:18:41"/>
    <d v="1899-12-30T08:21:23"/>
    <d v="1899-12-30T15:42:49"/>
    <d v="1899-12-30T07:21:26"/>
    <d v="1899-12-30T07:12:00"/>
    <d v="1899-12-30T00:09:26"/>
    <m/>
    <n v="0.1782451106244809"/>
    <n v="1.0218364197530863"/>
  </r>
  <r>
    <x v="89"/>
    <x v="1"/>
    <x v="4"/>
    <x v="10"/>
    <x v="3"/>
    <d v="1899-12-30T01:12:46"/>
    <d v="1899-12-30T08:00:00"/>
    <d v="1899-12-30T15:43:14"/>
    <d v="1899-12-30T07:43:14"/>
    <d v="1899-12-30T07:12:00"/>
    <d v="1899-12-30T00:31:14"/>
    <m/>
    <n v="0.15708426279053034"/>
    <n v="1.0722993827160494"/>
  </r>
  <r>
    <x v="90"/>
    <x v="1"/>
    <x v="4"/>
    <x v="10"/>
    <x v="3"/>
    <d v="1899-12-30T01:04:40"/>
    <d v="1899-12-30T08:00:44"/>
    <d v="1899-12-30T15:12:23"/>
    <d v="1899-12-30T07:11:39"/>
    <d v="1899-12-30T07:12:00"/>
    <m/>
    <d v="1899-12-30T00:00:21"/>
    <n v="0.14981273408239698"/>
    <n v="0.99918981481481506"/>
  </r>
  <r>
    <x v="91"/>
    <x v="1"/>
    <x v="4"/>
    <x v="10"/>
    <x v="3"/>
    <d v="1899-12-30T01:15:01"/>
    <d v="1899-12-30T08:00:00"/>
    <d v="1899-12-30T15:31:12"/>
    <d v="1899-12-30T07:31:12"/>
    <d v="1899-12-30T07:12:00"/>
    <d v="1899-12-30T00:19:12"/>
    <m/>
    <n v="0.16626034278959814"/>
    <n v="1.0444444444444443"/>
  </r>
  <r>
    <x v="69"/>
    <x v="1"/>
    <x v="3"/>
    <x v="11"/>
    <x v="4"/>
    <d v="1899-12-30T00:52:19"/>
    <d v="1899-12-30T08:06:20"/>
    <d v="1899-12-30T15:17:45"/>
    <d v="1899-12-30T07:11:25"/>
    <d v="1899-12-30T07:12:00"/>
    <m/>
    <d v="1899-12-30T00:00:35"/>
    <n v="0.12126714313308865"/>
    <n v="0.99864969135802495"/>
  </r>
  <r>
    <x v="70"/>
    <x v="1"/>
    <x v="3"/>
    <x v="11"/>
    <x v="4"/>
    <d v="1899-12-30T00:56:23"/>
    <d v="1899-12-30T08:01:41"/>
    <d v="1899-12-30T15:14:24"/>
    <d v="1899-12-30T07:12:43"/>
    <d v="1899-12-30T07:12:00"/>
    <d v="1899-12-30T00:00:43"/>
    <m/>
    <n v="0.13030081269498903"/>
    <n v="1.0016589506172842"/>
  </r>
  <r>
    <x v="71"/>
    <x v="1"/>
    <x v="3"/>
    <x v="11"/>
    <x v="4"/>
    <d v="1899-12-30T00:51:08"/>
    <d v="1899-12-30T08:23:09"/>
    <d v="1899-12-30T16:12:44"/>
    <d v="1899-12-30T07:49:35"/>
    <d v="1899-12-30T07:12:00"/>
    <d v="1899-12-30T00:37:35"/>
    <m/>
    <n v="0.10889086069210292"/>
    <n v="1.0869984567901236"/>
  </r>
  <r>
    <x v="72"/>
    <x v="1"/>
    <x v="3"/>
    <x v="11"/>
    <x v="4"/>
    <d v="1899-12-30T00:53:40"/>
    <d v="1899-12-30T08:00:02"/>
    <d v="1899-12-30T15:13:46"/>
    <d v="1899-12-30T07:13:44"/>
    <d v="1899-12-30T07:12:00"/>
    <d v="1899-12-30T00:01:44"/>
    <m/>
    <n v="0.123731939747925"/>
    <n v="1.0040123456790124"/>
  </r>
  <r>
    <x v="73"/>
    <x v="1"/>
    <x v="3"/>
    <x v="11"/>
    <x v="4"/>
    <d v="1899-12-30T00:52:12"/>
    <d v="1899-12-30T08:22:27"/>
    <d v="1899-12-30T15:14:14"/>
    <d v="1899-12-30T06:51:47"/>
    <d v="1899-12-30T07:12:00"/>
    <m/>
    <d v="1899-12-30T00:20:13"/>
    <n v="0.12676569393289347"/>
    <n v="0.95320216049382733"/>
  </r>
  <r>
    <x v="74"/>
    <x v="1"/>
    <x v="3"/>
    <x v="11"/>
    <x v="4"/>
    <d v="1899-12-30T01:02:18"/>
    <d v="1899-12-30T08:02:12"/>
    <d v="1899-12-30T15:18:03"/>
    <d v="1899-12-30T07:15:51"/>
    <d v="1899-12-30T07:12:00"/>
    <d v="1899-12-30T00:03:51"/>
    <m/>
    <n v="0.14293908454743606"/>
    <n v="1.008912037037037"/>
  </r>
  <r>
    <x v="75"/>
    <x v="1"/>
    <x v="3"/>
    <x v="11"/>
    <x v="4"/>
    <d v="1899-12-30T00:51:14"/>
    <d v="1899-12-30T08:00:06"/>
    <d v="1899-12-30T15:15:02"/>
    <d v="1899-12-30T07:14:56"/>
    <d v="1899-12-30T07:12:00"/>
    <d v="1899-12-30T00:02:56"/>
    <m/>
    <n v="0.11779583077866339"/>
    <n v="1.0067901234567902"/>
  </r>
  <r>
    <x v="76"/>
    <x v="1"/>
    <x v="3"/>
    <x v="11"/>
    <x v="4"/>
    <d v="1899-12-30T01:01:14"/>
    <d v="1899-12-30T08:08:56"/>
    <d v="1899-12-30T15:17:01"/>
    <d v="1899-12-30T07:08:05"/>
    <d v="1899-12-30T07:12:00"/>
    <m/>
    <d v="1899-12-30T00:03:55"/>
    <n v="0.1430406852248394"/>
    <n v="0.99093364197530887"/>
  </r>
  <r>
    <x v="77"/>
    <x v="1"/>
    <x v="3"/>
    <x v="11"/>
    <x v="4"/>
    <d v="1899-12-30T00:52:44"/>
    <d v="1899-12-30T08:00:09"/>
    <d v="1899-12-30T15:14:00"/>
    <d v="1899-12-30T07:13:51"/>
    <d v="1899-12-30T07:12:00"/>
    <d v="1899-12-30T00:01:51"/>
    <m/>
    <n v="0.12154738580922748"/>
    <n v="1.0042824074074073"/>
  </r>
  <r>
    <x v="78"/>
    <x v="1"/>
    <x v="3"/>
    <x v="11"/>
    <x v="4"/>
    <d v="1899-12-30T00:58:04"/>
    <d v="1899-12-30T08:57:45"/>
    <d v="1899-12-30T17:13:34"/>
    <d v="1899-12-30T08:15:49"/>
    <d v="1899-12-30T07:12:00"/>
    <d v="1899-12-30T01:03:49"/>
    <m/>
    <n v="0.11711318027496721"/>
    <n v="1.1477237654320991"/>
  </r>
  <r>
    <x v="79"/>
    <x v="1"/>
    <x v="4"/>
    <x v="11"/>
    <x v="4"/>
    <d v="1899-12-30T00:57:30"/>
    <d v="1899-12-30T08:00:10"/>
    <d v="1899-12-30T15:13:18"/>
    <d v="1899-12-30T07:13:08"/>
    <d v="1899-12-30T07:12:00"/>
    <d v="1899-12-30T00:01:08"/>
    <m/>
    <n v="0.1327535785747268"/>
    <n v="1.0026234567901235"/>
  </r>
  <r>
    <x v="80"/>
    <x v="1"/>
    <x v="4"/>
    <x v="11"/>
    <x v="4"/>
    <d v="1899-12-30T01:05:46"/>
    <d v="1899-12-30T08:00:07"/>
    <d v="1899-12-30T15:14:36"/>
    <d v="1899-12-30T07:14:29"/>
    <d v="1899-12-30T07:12:00"/>
    <d v="1899-12-30T00:02:29"/>
    <m/>
    <n v="0.1513675246461314"/>
    <n v="1.0057484567901236"/>
  </r>
  <r>
    <x v="81"/>
    <x v="1"/>
    <x v="4"/>
    <x v="11"/>
    <x v="4"/>
    <d v="1899-12-30T00:51:45"/>
    <d v="1899-12-30T08:08:02"/>
    <d v="1899-12-30T16:12:41"/>
    <d v="1899-12-30T08:04:39"/>
    <d v="1899-12-30T07:12:00"/>
    <d v="1899-12-30T00:52:39"/>
    <m/>
    <n v="0.10677808727948002"/>
    <n v="1.1218750000000002"/>
  </r>
  <r>
    <x v="82"/>
    <x v="1"/>
    <x v="4"/>
    <x v="11"/>
    <x v="4"/>
    <d v="1899-12-30T01:15:19"/>
    <d v="1899-12-30T08:09:13"/>
    <d v="1899-12-30T15:16:45"/>
    <d v="1899-12-30T07:07:32"/>
    <d v="1899-12-30T07:12:00"/>
    <m/>
    <d v="1899-12-30T00:04:28"/>
    <n v="0.17616560112271945"/>
    <n v="0.9896604938271607"/>
  </r>
  <r>
    <x v="83"/>
    <x v="1"/>
    <x v="4"/>
    <x v="11"/>
    <x v="4"/>
    <d v="1899-12-30T01:05:27"/>
    <d v="1899-12-30T08:18:16"/>
    <d v="1899-12-30T15:17:34"/>
    <d v="1899-12-30T06:59:18"/>
    <d v="1899-12-30T07:12:00"/>
    <m/>
    <d v="1899-12-30T00:12:42"/>
    <n v="0.15609348914858096"/>
    <n v="0.97060185185185188"/>
  </r>
  <r>
    <x v="84"/>
    <x v="1"/>
    <x v="4"/>
    <x v="11"/>
    <x v="4"/>
    <d v="1899-12-30T00:54:27"/>
    <d v="1899-12-30T08:00:36"/>
    <d v="1899-12-30T15:18:07"/>
    <d v="1899-12-30T07:17:31"/>
    <d v="1899-12-30T07:12:00"/>
    <d v="1899-12-30T00:05:31"/>
    <m/>
    <n v="0.12445240181326424"/>
    <n v="1.0127700617283952"/>
  </r>
  <r>
    <x v="81"/>
    <x v="1"/>
    <x v="4"/>
    <x v="13"/>
    <x v="0"/>
    <d v="1899-12-30T00:47:19"/>
    <d v="1899-12-30T08:00:27"/>
    <d v="1899-12-30T15:44:28"/>
    <d v="1899-12-30T07:44:01"/>
    <d v="1899-12-30T07:12:00"/>
    <d v="1899-12-30T00:32:01"/>
    <m/>
    <n v="0.10197191192845083"/>
    <n v="1.0741126543209878"/>
  </r>
  <r>
    <x v="82"/>
    <x v="1"/>
    <x v="4"/>
    <x v="13"/>
    <x v="0"/>
    <d v="1899-12-30T00:27:40"/>
    <d v="1899-12-30T08:00:33"/>
    <d v="1899-12-30T15:37:32"/>
    <d v="1899-12-30T07:36:59"/>
    <d v="1899-12-30T07:12:00"/>
    <d v="1899-12-30T00:24:59"/>
    <m/>
    <n v="6.0541959954775883E-2"/>
    <n v="1.0578317901234568"/>
  </r>
  <r>
    <x v="83"/>
    <x v="1"/>
    <x v="4"/>
    <x v="13"/>
    <x v="0"/>
    <d v="1899-12-30T00:54:25"/>
    <d v="1899-12-30T07:59:37"/>
    <d v="1899-12-30T15:12:54"/>
    <d v="1899-12-30T07:13:17"/>
    <d v="1899-12-30T07:12:00"/>
    <d v="1899-12-30T00:01:17"/>
    <m/>
    <n v="0.12559141439396856"/>
    <n v="1.0029706790123456"/>
  </r>
  <r>
    <x v="84"/>
    <x v="1"/>
    <x v="4"/>
    <x v="13"/>
    <x v="0"/>
    <d v="1899-12-30T00:37:33"/>
    <d v="1899-12-30T07:59:35"/>
    <d v="1899-12-30T15:14:05"/>
    <d v="1899-12-30T07:14:30"/>
    <d v="1899-12-30T07:12:00"/>
    <d v="1899-12-30T00:02:30"/>
    <m/>
    <n v="8.6421173762945905E-2"/>
    <n v="1.0057870370370372"/>
  </r>
  <r>
    <x v="85"/>
    <x v="1"/>
    <x v="4"/>
    <x v="13"/>
    <x v="0"/>
    <d v="1899-12-30T00:49:17"/>
    <d v="1899-12-30T08:00:01"/>
    <d v="1899-12-30T15:12:34"/>
    <d v="1899-12-30T07:12:33"/>
    <d v="1899-12-30T07:12:00"/>
    <d v="1899-12-30T00:00:33"/>
    <m/>
    <n v="0.11393673178437946"/>
    <n v="1.0012731481481483"/>
  </r>
  <r>
    <x v="86"/>
    <x v="1"/>
    <x v="4"/>
    <x v="13"/>
    <x v="0"/>
    <d v="1899-12-30T00:42:39"/>
    <d v="1899-12-30T08:05:30"/>
    <d v="1899-12-30T15:13:20"/>
    <d v="1899-12-30T07:07:50"/>
    <d v="1899-12-30T07:12:00"/>
    <m/>
    <d v="1899-12-30T00:04:10"/>
    <n v="9.9688352162056876E-2"/>
    <n v="0.99035493827160503"/>
  </r>
  <r>
    <x v="87"/>
    <x v="1"/>
    <x v="4"/>
    <x v="13"/>
    <x v="0"/>
    <d v="1899-12-30T00:55:50"/>
    <d v="1899-12-30T08:00:33"/>
    <d v="1899-12-30T15:12:38"/>
    <d v="1899-12-30T07:12:05"/>
    <d v="1899-12-30T07:12:00"/>
    <d v="1899-12-30T00:00:05"/>
    <m/>
    <n v="0.12921890067502412"/>
    <n v="1.0001929012345678"/>
  </r>
  <r>
    <x v="88"/>
    <x v="1"/>
    <x v="4"/>
    <x v="13"/>
    <x v="0"/>
    <d v="1899-12-30T01:04:21"/>
    <d v="1899-12-30T08:01:24"/>
    <d v="1899-12-30T15:14:50"/>
    <d v="1899-12-30T07:13:26"/>
    <d v="1899-12-30T07:12:00"/>
    <d v="1899-12-30T00:01:26"/>
    <m/>
    <n v="0.14846573867569024"/>
    <n v="1.0033179012345679"/>
  </r>
  <r>
    <x v="89"/>
    <x v="1"/>
    <x v="4"/>
    <x v="13"/>
    <x v="0"/>
    <d v="1899-12-30T00:55:50"/>
    <d v="1899-12-30T08:00:09"/>
    <d v="1899-12-30T15:13:06"/>
    <d v="1899-12-30T07:12:57"/>
    <d v="1899-12-30T07:12:00"/>
    <d v="1899-12-30T00:00:57"/>
    <m/>
    <n v="0.12896023405320092"/>
    <n v="1.002199074074074"/>
  </r>
  <r>
    <x v="90"/>
    <x v="1"/>
    <x v="4"/>
    <x v="13"/>
    <x v="0"/>
    <d v="1899-12-30T00:52:39"/>
    <d v="1899-12-30T08:00:45"/>
    <d v="1899-12-30T15:12:23"/>
    <d v="1899-12-30T07:11:38"/>
    <d v="1899-12-30T07:12:00"/>
    <m/>
    <d v="1899-12-30T00:00:22"/>
    <n v="0.12197853116070737"/>
    <n v="0.99915123456790145"/>
  </r>
  <r>
    <x v="91"/>
    <x v="1"/>
    <x v="4"/>
    <x v="13"/>
    <x v="0"/>
    <d v="1899-12-30T00:51:51"/>
    <d v="1899-12-30T07:59:39"/>
    <d v="1899-12-30T15:12:25"/>
    <d v="1899-12-30T07:12:46"/>
    <d v="1899-12-30T07:12:00"/>
    <d v="1899-12-30T00:00:46"/>
    <m/>
    <n v="0.11981052145112842"/>
    <n v="1.0017746913580248"/>
  </r>
  <r>
    <x v="69"/>
    <x v="1"/>
    <x v="3"/>
    <x v="14"/>
    <x v="0"/>
    <d v="1899-12-30T01:16:11"/>
    <d v="1899-12-30T10:52:12"/>
    <d v="1899-12-30T18:00:19"/>
    <d v="1899-12-30T07:08:07"/>
    <d v="1899-12-30T07:12:00"/>
    <m/>
    <d v="1899-12-30T00:03:53"/>
    <n v="0.17794993576517307"/>
    <n v="0.99101080246913575"/>
  </r>
  <r>
    <x v="70"/>
    <x v="1"/>
    <x v="3"/>
    <x v="14"/>
    <x v="0"/>
    <d v="1899-12-30T01:18:11"/>
    <d v="1899-12-30T10:50:51"/>
    <d v="1899-12-30T18:00:34"/>
    <d v="1899-12-30T07:09:43"/>
    <d v="1899-12-30T07:12:00"/>
    <m/>
    <d v="1899-12-30T00:02:17"/>
    <n v="0.18194158941938485"/>
    <n v="0.99471450617283963"/>
  </r>
  <r>
    <x v="71"/>
    <x v="1"/>
    <x v="3"/>
    <x v="14"/>
    <x v="0"/>
    <d v="1899-12-30T01:18:26"/>
    <d v="1899-12-30T11:11:40"/>
    <d v="1899-12-30T18:00:25"/>
    <d v="1899-12-30T06:48:45"/>
    <d v="1899-12-30T07:12:00"/>
    <m/>
    <d v="1899-12-30T00:23:15"/>
    <n v="0.19188583078491336"/>
    <n v="0.94618055555555569"/>
  </r>
  <r>
    <x v="72"/>
    <x v="1"/>
    <x v="3"/>
    <x v="14"/>
    <x v="0"/>
    <d v="1899-12-30T01:14:53"/>
    <d v="1899-12-30T10:45:31"/>
    <d v="1899-12-30T18:00:36"/>
    <d v="1899-12-30T07:15:05"/>
    <d v="1899-12-30T07:12:00"/>
    <d v="1899-12-30T00:03:05"/>
    <m/>
    <n v="0.1721126221030454"/>
    <n v="1.0071373456790123"/>
  </r>
  <r>
    <x v="73"/>
    <x v="1"/>
    <x v="3"/>
    <x v="14"/>
    <x v="0"/>
    <d v="1899-12-30T01:21:42"/>
    <d v="1899-12-30T10:52:22"/>
    <d v="1899-12-30T18:00:08"/>
    <d v="1899-12-30T07:07:46"/>
    <d v="1899-12-30T07:12:00"/>
    <m/>
    <d v="1899-12-30T00:04:14"/>
    <n v="0.19099197381750171"/>
    <n v="0.99020061728395081"/>
  </r>
  <r>
    <x v="74"/>
    <x v="1"/>
    <x v="3"/>
    <x v="14"/>
    <x v="0"/>
    <d v="1899-12-30T01:06:12"/>
    <d v="1899-12-30T10:51:32"/>
    <d v="1899-12-30T18:00:44"/>
    <d v="1899-12-30T07:09:12"/>
    <d v="1899-12-30T07:12:00"/>
    <m/>
    <d v="1899-12-30T00:02:48"/>
    <n v="0.15424044734389561"/>
    <n v="0.99351851851851858"/>
  </r>
  <r>
    <x v="75"/>
    <x v="1"/>
    <x v="3"/>
    <x v="14"/>
    <x v="0"/>
    <d v="1899-12-30T01:19:33"/>
    <d v="1899-12-30T10:33:04"/>
    <d v="1899-12-30T18:00:42"/>
    <d v="1899-12-30T07:27:38"/>
    <d v="1899-12-30T07:12:00"/>
    <d v="1899-12-30T00:15:38"/>
    <m/>
    <n v="0.17771241343361385"/>
    <n v="1.0361882716049382"/>
  </r>
  <r>
    <x v="76"/>
    <x v="1"/>
    <x v="3"/>
    <x v="14"/>
    <x v="0"/>
    <d v="1899-12-30T01:21:51"/>
    <d v="1899-12-30T10:39:16"/>
    <d v="1899-12-30T18:00:29"/>
    <d v="1899-12-30T07:21:13"/>
    <d v="1899-12-30T07:12:00"/>
    <d v="1899-12-30T00:09:13"/>
    <m/>
    <n v="0.18550976466588603"/>
    <n v="1.0213348765432098"/>
  </r>
  <r>
    <x v="77"/>
    <x v="1"/>
    <x v="3"/>
    <x v="14"/>
    <x v="0"/>
    <d v="1899-12-30T01:10:51"/>
    <d v="1899-12-30T10:39:48"/>
    <d v="1899-12-30T18:00:15"/>
    <d v="1899-12-30T07:20:27"/>
    <d v="1899-12-30T07:12:00"/>
    <d v="1899-12-30T00:08:27"/>
    <m/>
    <n v="0.16085821319105462"/>
    <n v="1.0195601851851852"/>
  </r>
  <r>
    <x v="78"/>
    <x v="1"/>
    <x v="3"/>
    <x v="14"/>
    <x v="0"/>
    <d v="1899-12-30T01:13:40"/>
    <d v="1899-12-30T10:59:11"/>
    <d v="1899-12-30T18:00:53"/>
    <d v="1899-12-30T07:01:42"/>
    <d v="1899-12-30T07:12:00"/>
    <m/>
    <d v="1899-12-30T00:10:18"/>
    <n v="0.17468974784602007"/>
    <n v="0.97615740740740753"/>
  </r>
  <r>
    <x v="79"/>
    <x v="1"/>
    <x v="4"/>
    <x v="14"/>
    <x v="3"/>
    <d v="1899-12-30T01:16:01"/>
    <d v="1899-12-30T10:50:20"/>
    <d v="1899-12-30T18:01:48"/>
    <d v="1899-12-30T07:11:28"/>
    <d v="1899-12-30T07:12:00"/>
    <m/>
    <d v="1899-12-30T00:00:32"/>
    <n v="0.17618201483312734"/>
    <n v="0.99876543209876534"/>
  </r>
  <r>
    <x v="80"/>
    <x v="1"/>
    <x v="4"/>
    <x v="14"/>
    <x v="3"/>
    <d v="1899-12-30T00:46:43"/>
    <d v="1899-12-30T11:31:12"/>
    <d v="1899-12-30T18:00:41"/>
    <d v="1899-12-30T06:29:29"/>
    <d v="1899-12-30T07:12:00"/>
    <m/>
    <d v="1899-12-30T00:42:31"/>
    <n v="0.1199452265822243"/>
    <n v="0.90158179012345685"/>
  </r>
  <r>
    <x v="81"/>
    <x v="1"/>
    <x v="4"/>
    <x v="14"/>
    <x v="3"/>
    <d v="1899-12-30T00:00:00"/>
    <d v="1899-12-30T10:45:00"/>
    <d v="1899-12-30T18:00:22"/>
    <d v="1899-12-30T07:15:22"/>
    <d v="1899-12-30T07:12:00"/>
    <d v="1899-12-30T00:03:22"/>
    <m/>
    <n v="0"/>
    <n v="1.0077932098765432"/>
  </r>
  <r>
    <x v="82"/>
    <x v="1"/>
    <x v="4"/>
    <x v="14"/>
    <x v="3"/>
    <d v="1899-12-30T00:37:06"/>
    <d v="1899-12-30T10:52:50"/>
    <d v="1899-12-30T18:00:17"/>
    <d v="1899-12-30T07:07:27"/>
    <d v="1899-12-30T07:12:00"/>
    <m/>
    <d v="1899-12-30T00:04:33"/>
    <n v="8.6793777049947382E-2"/>
    <n v="0.98946759259259243"/>
  </r>
  <r>
    <x v="83"/>
    <x v="1"/>
    <x v="4"/>
    <x v="14"/>
    <x v="3"/>
    <d v="1899-12-30T01:26:35"/>
    <d v="1899-12-30T10:45:26"/>
    <d v="1899-12-30T18:00:25"/>
    <d v="1899-12-30T07:14:59"/>
    <d v="1899-12-30T07:12:00"/>
    <d v="1899-12-30T00:02:59"/>
    <m/>
    <n v="0.19904977202191654"/>
    <n v="1.006905864197531"/>
  </r>
  <r>
    <x v="84"/>
    <x v="1"/>
    <x v="4"/>
    <x v="14"/>
    <x v="3"/>
    <d v="1899-12-30T01:20:26"/>
    <d v="1899-12-30T10:35:06"/>
    <d v="1899-12-30T18:01:13"/>
    <d v="1899-12-30T07:26:07"/>
    <d v="1899-12-30T07:12:00"/>
    <d v="1899-12-30T00:14:07"/>
    <m/>
    <n v="0.1802966339148952"/>
    <n v="1.0326774691358025"/>
  </r>
  <r>
    <x v="85"/>
    <x v="1"/>
    <x v="4"/>
    <x v="14"/>
    <x v="3"/>
    <d v="1899-12-30T01:26:26"/>
    <d v="1899-12-30T11:10:22"/>
    <d v="1899-12-30T18:00:31"/>
    <d v="1899-12-30T06:50:09"/>
    <d v="1899-12-30T07:12:00"/>
    <m/>
    <d v="1899-12-30T00:21:51"/>
    <n v="0.21073590962655939"/>
    <n v="0.94942129629629635"/>
  </r>
  <r>
    <x v="86"/>
    <x v="1"/>
    <x v="4"/>
    <x v="14"/>
    <x v="3"/>
    <d v="1899-12-30T01:06:44"/>
    <d v="1899-12-30T10:48:19"/>
    <d v="1899-12-30T18:00:20"/>
    <d v="1899-12-30T07:12:01"/>
    <d v="1899-12-30T07:12:00"/>
    <d v="1899-12-30T00:00:01"/>
    <m/>
    <n v="0.15446934917634353"/>
    <n v="1.0000385802469134"/>
  </r>
  <r>
    <x v="87"/>
    <x v="1"/>
    <x v="4"/>
    <x v="14"/>
    <x v="3"/>
    <d v="1899-12-30T01:07:48"/>
    <d v="1899-12-30T10:51:47"/>
    <d v="1899-12-30T18:00:31"/>
    <d v="1899-12-30T07:08:44"/>
    <d v="1899-12-30T07:12:00"/>
    <m/>
    <d v="1899-12-30T00:03:16"/>
    <n v="0.15814025812470844"/>
    <n v="0.99243827160493836"/>
  </r>
  <r>
    <x v="88"/>
    <x v="1"/>
    <x v="4"/>
    <x v="14"/>
    <x v="3"/>
    <d v="1899-12-30T01:18:48"/>
    <d v="1899-12-30T11:03:02"/>
    <d v="1899-12-30T18:00:25"/>
    <d v="1899-12-30T06:57:23"/>
    <d v="1899-12-30T07:12:00"/>
    <m/>
    <d v="1899-12-30T00:14:37"/>
    <n v="0.18879527213193306"/>
    <n v="0.96616512345679018"/>
  </r>
  <r>
    <x v="89"/>
    <x v="1"/>
    <x v="4"/>
    <x v="14"/>
    <x v="3"/>
    <d v="1899-12-30T01:13:54"/>
    <d v="1899-12-30T10:55:17"/>
    <d v="1899-12-30T18:00:33"/>
    <d v="1899-12-30T07:05:16"/>
    <d v="1899-12-30T07:12:00"/>
    <m/>
    <d v="1899-12-30T00:06:44"/>
    <n v="0.17377331870199095"/>
    <n v="0.98441358024691339"/>
  </r>
  <r>
    <x v="90"/>
    <x v="1"/>
    <x v="4"/>
    <x v="14"/>
    <x v="3"/>
    <d v="1899-12-30T01:43:51"/>
    <d v="1899-12-30T10:09:00"/>
    <d v="1899-12-30T18:00:58"/>
    <d v="1899-12-30T07:51:58"/>
    <d v="1899-12-30T07:12:00"/>
    <d v="1899-12-30T00:39:58"/>
    <m/>
    <n v="0.2200367257574688"/>
    <n v="1.0925154320987653"/>
  </r>
  <r>
    <x v="91"/>
    <x v="1"/>
    <x v="4"/>
    <x v="14"/>
    <x v="3"/>
    <d v="1899-12-30T01:33:02"/>
    <d v="1899-12-30T10:48:00"/>
    <d v="1899-12-30T18:00:23"/>
    <d v="1899-12-30T07:12:23"/>
    <d v="1899-12-30T07:12:00"/>
    <d v="1899-12-30T00:00:23"/>
    <m/>
    <n v="0.21516401341402311"/>
    <n v="1.0008873456790122"/>
  </r>
  <r>
    <x v="70"/>
    <x v="1"/>
    <x v="3"/>
    <x v="15"/>
    <x v="0"/>
    <d v="1899-12-30T01:00:31"/>
    <d v="1899-12-30T10:48:47"/>
    <d v="1899-12-30T18:00:36"/>
    <d v="1899-12-30T07:11:49"/>
    <d v="1899-12-30T07:12:00"/>
    <m/>
    <d v="1899-12-30T00:00:11"/>
    <n v="0.14014435138368911"/>
    <n v="0.99957561728395039"/>
  </r>
  <r>
    <x v="71"/>
    <x v="1"/>
    <x v="3"/>
    <x v="15"/>
    <x v="0"/>
    <d v="1899-12-30T01:03:37"/>
    <d v="1899-12-30T10:50:55"/>
    <d v="1899-12-30T18:00:25"/>
    <d v="1899-12-30T07:09:30"/>
    <d v="1899-12-30T07:12:00"/>
    <m/>
    <d v="1899-12-30T00:02:30"/>
    <n v="0.14811796662786186"/>
    <n v="0.99421296296296302"/>
  </r>
  <r>
    <x v="73"/>
    <x v="1"/>
    <x v="3"/>
    <x v="15"/>
    <x v="0"/>
    <d v="1899-12-30T01:17:08"/>
    <d v="1899-12-30T10:53:40"/>
    <d v="1899-12-30T18:00:21"/>
    <d v="1899-12-30T07:06:41"/>
    <d v="1899-12-30T07:12:00"/>
    <m/>
    <d v="1899-12-30T00:05:19"/>
    <n v="0.18077418850826135"/>
    <n v="0.9876929012345681"/>
  </r>
  <r>
    <x v="74"/>
    <x v="1"/>
    <x v="3"/>
    <x v="15"/>
    <x v="0"/>
    <d v="1899-12-30T01:06:26"/>
    <d v="1899-12-30T10:53:02"/>
    <d v="1899-12-30T18:00:58"/>
    <d v="1899-12-30T07:07:56"/>
    <d v="1899-12-30T07:12:00"/>
    <m/>
    <d v="1899-12-30T00:04:04"/>
    <n v="0.15524224957158436"/>
    <n v="0.99058641975308637"/>
  </r>
  <r>
    <x v="75"/>
    <x v="1"/>
    <x v="3"/>
    <x v="15"/>
    <x v="0"/>
    <d v="1899-12-30T00:59:23"/>
    <d v="1899-12-30T11:38:47"/>
    <d v="1899-12-30T18:00:26"/>
    <d v="1899-12-30T06:21:39"/>
    <d v="1899-12-30T07:12:00"/>
    <m/>
    <d v="1899-12-30T00:50:21"/>
    <n v="0.15559631424953058"/>
    <n v="0.88344907407407403"/>
  </r>
  <r>
    <x v="76"/>
    <x v="1"/>
    <x v="3"/>
    <x v="15"/>
    <x v="0"/>
    <d v="1899-12-30T01:22:44"/>
    <d v="1899-12-30T09:59:26"/>
    <d v="1899-12-30T18:00:38"/>
    <d v="1899-12-30T08:01:12"/>
    <d v="1899-12-30T07:12:00"/>
    <d v="1899-12-30T00:49:12"/>
    <m/>
    <n v="0.17193128290385148"/>
    <n v="1.1138888888888889"/>
  </r>
  <r>
    <x v="77"/>
    <x v="1"/>
    <x v="3"/>
    <x v="15"/>
    <x v="0"/>
    <d v="1899-12-30T01:04:59"/>
    <d v="1899-12-30T09:51:09"/>
    <d v="1899-12-30T18:04:25"/>
    <d v="1899-12-30T08:13:16"/>
    <d v="1899-12-30T07:12:00"/>
    <d v="1899-12-30T01:01:16"/>
    <m/>
    <n v="0.13174077578051088"/>
    <n v="1.1418209876543211"/>
  </r>
  <r>
    <x v="78"/>
    <x v="1"/>
    <x v="3"/>
    <x v="15"/>
    <x v="0"/>
    <d v="1899-12-30T01:08:44"/>
    <d v="1899-12-30T10:09:18"/>
    <d v="1899-12-30T18:01:12"/>
    <d v="1899-12-30T07:51:54"/>
    <d v="1899-12-30T07:12:00"/>
    <d v="1899-12-30T00:39:54"/>
    <m/>
    <n v="0.14565232747050927"/>
    <n v="1.0923611111111113"/>
  </r>
  <r>
    <x v="79"/>
    <x v="1"/>
    <x v="4"/>
    <x v="15"/>
    <x v="0"/>
    <d v="1899-12-30T01:03:58"/>
    <d v="1899-12-30T10:25:22"/>
    <d v="1899-12-30T18:00:37"/>
    <d v="1899-12-30T07:35:15"/>
    <d v="1899-12-30T07:12:00"/>
    <d v="1899-12-30T00:23:15"/>
    <m/>
    <n v="0.14050887790591252"/>
    <n v="1.0538194444444446"/>
  </r>
  <r>
    <x v="80"/>
    <x v="1"/>
    <x v="4"/>
    <x v="15"/>
    <x v="0"/>
    <d v="1899-12-30T01:24:55"/>
    <d v="1899-12-30T10:52:16"/>
    <d v="1899-12-30T18:00:41"/>
    <d v="1899-12-30T07:08:25"/>
    <d v="1899-12-30T07:12:00"/>
    <m/>
    <d v="1899-12-30T00:03:35"/>
    <n v="0.19821046489009919"/>
    <n v="0.99170524691358031"/>
  </r>
  <r>
    <x v="81"/>
    <x v="1"/>
    <x v="4"/>
    <x v="15"/>
    <x v="0"/>
    <d v="1899-12-30T01:10:01"/>
    <d v="1899-12-30T10:14:17"/>
    <d v="1899-12-30T18:00:12"/>
    <d v="1899-12-30T07:45:55"/>
    <d v="1899-12-30T07:12:00"/>
    <d v="1899-12-30T00:33:55"/>
    <m/>
    <n v="0.15027723126453227"/>
    <n v="1.0785108024691359"/>
  </r>
  <r>
    <x v="82"/>
    <x v="1"/>
    <x v="4"/>
    <x v="15"/>
    <x v="0"/>
    <d v="1899-12-30T01:12:52"/>
    <d v="1899-12-30T09:50:30"/>
    <d v="1899-12-30T18:01:02"/>
    <d v="1899-12-30T08:10:32"/>
    <d v="1899-12-30T07:12:00"/>
    <d v="1899-12-30T00:58:32"/>
    <m/>
    <n v="0.14854580048926336"/>
    <n v="1.135493827160494"/>
  </r>
  <r>
    <x v="83"/>
    <x v="1"/>
    <x v="4"/>
    <x v="15"/>
    <x v="0"/>
    <d v="1899-12-30T01:14:33"/>
    <d v="1899-12-30T10:13:51"/>
    <d v="1899-12-30T18:00:19"/>
    <d v="1899-12-30T07:46:28"/>
    <d v="1899-12-30T07:12:00"/>
    <d v="1899-12-30T00:34:28"/>
    <m/>
    <n v="0.15981849364013151"/>
    <n v="1.0797839506172839"/>
  </r>
  <r>
    <x v="84"/>
    <x v="1"/>
    <x v="4"/>
    <x v="15"/>
    <x v="0"/>
    <d v="1899-12-30T01:06:55"/>
    <d v="1899-12-30T09:51:19"/>
    <d v="1899-12-30T18:00:38"/>
    <d v="1899-12-30T08:09:19"/>
    <d v="1899-12-30T07:12:00"/>
    <d v="1899-12-30T00:57:19"/>
    <m/>
    <n v="0.13675533907830648"/>
    <n v="1.1326774691358026"/>
  </r>
  <r>
    <x v="85"/>
    <x v="1"/>
    <x v="4"/>
    <x v="15"/>
    <x v="0"/>
    <d v="1899-12-30T01:08:00"/>
    <d v="1899-12-30T11:03:09"/>
    <d v="1899-12-30T18:00:26"/>
    <d v="1899-12-30T06:57:17"/>
    <d v="1899-12-30T07:12:00"/>
    <m/>
    <d v="1899-12-30T00:14:43"/>
    <n v="0.16295882094500141"/>
    <n v="0.96593364197530862"/>
  </r>
  <r>
    <x v="86"/>
    <x v="1"/>
    <x v="4"/>
    <x v="15"/>
    <x v="0"/>
    <d v="1899-12-30T01:03:10"/>
    <d v="1899-12-30T10:49:25"/>
    <d v="1899-12-30T18:00:19"/>
    <d v="1899-12-30T07:10:54"/>
    <d v="1899-12-30T07:12:00"/>
    <m/>
    <d v="1899-12-30T00:01:06"/>
    <n v="0.14659240349655761"/>
    <n v="0.99745370370370368"/>
  </r>
  <r>
    <x v="87"/>
    <x v="1"/>
    <x v="4"/>
    <x v="15"/>
    <x v="0"/>
    <d v="1899-12-30T01:00:28"/>
    <d v="1899-12-30T10:51:24"/>
    <d v="1899-12-30T18:00:25"/>
    <d v="1899-12-30T07:09:01"/>
    <d v="1899-12-30T07:12:00"/>
    <m/>
    <d v="1899-12-30T00:02:59"/>
    <n v="0.14094246532768734"/>
    <n v="0.99309413580246919"/>
  </r>
  <r>
    <x v="88"/>
    <x v="1"/>
    <x v="4"/>
    <x v="15"/>
    <x v="0"/>
    <d v="1899-12-30T01:00:46"/>
    <d v="1899-12-30T10:51:57"/>
    <d v="1899-12-30T18:00:25"/>
    <d v="1899-12-30T07:08:28"/>
    <d v="1899-12-30T07:12:00"/>
    <m/>
    <d v="1899-12-30T00:03:32"/>
    <n v="0.14182355686945697"/>
    <n v="0.99182098765432103"/>
  </r>
  <r>
    <x v="89"/>
    <x v="1"/>
    <x v="4"/>
    <x v="15"/>
    <x v="0"/>
    <d v="1899-12-30T01:05:31"/>
    <d v="1899-12-30T11:00:00"/>
    <d v="1899-12-30T18:00:31"/>
    <d v="1899-12-30T07:00:31"/>
    <d v="1899-12-30T07:12:00"/>
    <m/>
    <d v="1899-12-30T00:11:29"/>
    <n v="0.1558004042645951"/>
    <n v="0.97341820987654337"/>
  </r>
  <r>
    <x v="90"/>
    <x v="1"/>
    <x v="4"/>
    <x v="15"/>
    <x v="0"/>
    <d v="1899-12-30T01:11:31"/>
    <d v="1899-12-30T10:51:25"/>
    <d v="1899-12-30T18:00:14"/>
    <d v="1899-12-30T07:08:49"/>
    <d v="1899-12-30T07:12:00"/>
    <m/>
    <d v="1899-12-30T00:03:11"/>
    <n v="0.16677678883749855"/>
    <n v="0.99263117283950597"/>
  </r>
  <r>
    <x v="91"/>
    <x v="1"/>
    <x v="4"/>
    <x v="15"/>
    <x v="0"/>
    <d v="1899-12-30T01:11:13"/>
    <d v="1899-12-30T10:48:56"/>
    <d v="1899-12-30T18:00:19"/>
    <d v="1899-12-30T07:11:23"/>
    <d v="1899-12-30T07:12:00"/>
    <m/>
    <d v="1899-12-30T00:00:37"/>
    <n v="0.165089054591817"/>
    <n v="0.99857253086419762"/>
  </r>
  <r>
    <x v="91"/>
    <x v="1"/>
    <x v="4"/>
    <x v="23"/>
    <x v="0"/>
    <d v="1899-12-30T01:07:07"/>
    <d v="1899-12-30T12:05:47"/>
    <d v="1899-12-30T18:00:48"/>
    <d v="1899-12-30T05:55:01"/>
    <d v="1899-12-30T07:12:00"/>
    <m/>
    <d v="1899-12-30T01:16:59"/>
    <n v="0.18905215717571947"/>
    <n v="0.8217978395061728"/>
  </r>
  <r>
    <x v="89"/>
    <x v="1"/>
    <x v="4"/>
    <x v="24"/>
    <x v="0"/>
    <d v="1899-12-30T00:58:54"/>
    <d v="1899-12-30T08:00:00"/>
    <d v="1899-12-30T15:14:06"/>
    <d v="1899-12-30T07:14:06"/>
    <d v="1899-12-30T07:12:00"/>
    <d v="1899-12-30T00:02:06"/>
    <m/>
    <n v="0.13568302234508178"/>
    <n v="1.0048611111111112"/>
  </r>
  <r>
    <x v="90"/>
    <x v="1"/>
    <x v="4"/>
    <x v="24"/>
    <x v="0"/>
    <d v="1899-12-30T00:50:47"/>
    <d v="1899-12-30T07:58:10"/>
    <d v="1899-12-30T15:11:57"/>
    <d v="1899-12-30T07:13:47"/>
    <d v="1899-12-30T07:12:00"/>
    <d v="1899-12-30T00:01:47"/>
    <m/>
    <n v="0.11707073423752259"/>
    <n v="1.004128086419753"/>
  </r>
  <r>
    <x v="91"/>
    <x v="1"/>
    <x v="4"/>
    <x v="24"/>
    <x v="0"/>
    <d v="1899-12-30T01:10:04"/>
    <d v="1899-12-30T08:18:12"/>
    <d v="1899-12-30T15:31:21"/>
    <d v="1899-12-30T07:13:09"/>
    <d v="1899-12-30T07:12:00"/>
    <d v="1899-12-30T00:01:09"/>
    <m/>
    <n v="0.16176074493054757"/>
    <n v="1.0026620370370369"/>
  </r>
  <r>
    <x v="89"/>
    <x v="1"/>
    <x v="4"/>
    <x v="25"/>
    <x v="0"/>
    <d v="1899-12-30T00:57:11"/>
    <d v="1899-12-30T10:49:57"/>
    <d v="1899-12-30T18:01:26"/>
    <d v="1899-12-30T07:11:29"/>
    <d v="1899-12-30T07:12:00"/>
    <m/>
    <d v="1899-12-30T00:00:31"/>
    <n v="0.13252732820889182"/>
    <n v="0.99880401234567895"/>
  </r>
  <r>
    <x v="90"/>
    <x v="1"/>
    <x v="4"/>
    <x v="25"/>
    <x v="0"/>
    <d v="1899-12-30T00:47:56"/>
    <d v="1899-12-30T10:47:28"/>
    <d v="1899-12-30T18:03:33"/>
    <d v="1899-12-30T07:16:05"/>
    <d v="1899-12-30T07:12:00"/>
    <d v="1899-12-30T00:04:05"/>
    <m/>
    <n v="0.10991782916109306"/>
    <n v="1.0094521604938274"/>
  </r>
  <r>
    <x v="91"/>
    <x v="1"/>
    <x v="4"/>
    <x v="25"/>
    <x v="0"/>
    <d v="1899-12-30T00:48:59"/>
    <d v="1899-12-30T10:48:24"/>
    <d v="1899-12-30T18:02:25"/>
    <d v="1899-12-30T07:14:01"/>
    <d v="1899-12-30T07:12:00"/>
    <d v="1899-12-30T00:02:01"/>
    <m/>
    <n v="0.11286048922852424"/>
    <n v="1.0046682098765434"/>
  </r>
  <r>
    <x v="69"/>
    <x v="1"/>
    <x v="3"/>
    <x v="18"/>
    <x v="0"/>
    <d v="1899-12-30T01:08:55"/>
    <d v="1899-12-30T07:59:14"/>
    <d v="1899-12-30T15:12:15"/>
    <d v="1899-12-30T07:13:01"/>
    <d v="1899-12-30T07:12:00"/>
    <d v="1899-12-30T00:01:01"/>
    <m/>
    <n v="0.15915476694507524"/>
    <n v="1.0023533950617285"/>
  </r>
  <r>
    <x v="70"/>
    <x v="1"/>
    <x v="3"/>
    <x v="18"/>
    <x v="0"/>
    <d v="1899-12-30T01:24:48"/>
    <d v="1899-12-30T08:01:03"/>
    <d v="1899-12-30T15:16:05"/>
    <d v="1899-12-30T07:15:02"/>
    <d v="1899-12-30T07:12:00"/>
    <d v="1899-12-30T00:03:02"/>
    <m/>
    <n v="0.19492759175542101"/>
    <n v="1.0070216049382716"/>
  </r>
  <r>
    <x v="71"/>
    <x v="1"/>
    <x v="3"/>
    <x v="18"/>
    <x v="0"/>
    <d v="1899-12-30T01:15:44"/>
    <d v="1899-12-30T08:22:06"/>
    <d v="1899-12-30T16:58:56"/>
    <d v="1899-12-30T08:36:50"/>
    <d v="1899-12-30T07:12:00"/>
    <d v="1899-12-30T01:24:50"/>
    <m/>
    <n v="0.14653337633021607"/>
    <n v="1.1963734567901234"/>
  </r>
  <r>
    <x v="72"/>
    <x v="1"/>
    <x v="3"/>
    <x v="18"/>
    <x v="0"/>
    <d v="1899-12-30T01:22:28"/>
    <d v="1899-12-30T08:18:18"/>
    <d v="1899-12-30T15:12:12"/>
    <d v="1899-12-30T06:53:54"/>
    <d v="1899-12-30T07:12:00"/>
    <m/>
    <d v="1899-12-30T00:18:06"/>
    <n v="0.19924297334299751"/>
    <n v="0.95810185185185182"/>
  </r>
  <r>
    <x v="73"/>
    <x v="1"/>
    <x v="3"/>
    <x v="18"/>
    <x v="0"/>
    <d v="1899-12-30T01:16:32"/>
    <d v="1899-12-30T08:07:30"/>
    <d v="1899-12-30T15:12:10"/>
    <d v="1899-12-30T07:04:40"/>
    <d v="1899-12-30T07:12:00"/>
    <m/>
    <d v="1899-12-30T00:07:20"/>
    <n v="0.18021978021978025"/>
    <n v="0.9830246913580245"/>
  </r>
  <r>
    <x v="74"/>
    <x v="1"/>
    <x v="3"/>
    <x v="18"/>
    <x v="0"/>
    <d v="1899-12-30T01:28:49"/>
    <d v="1899-12-30T08:04:31"/>
    <d v="1899-12-30T15:12:14"/>
    <d v="1899-12-30T07:07:43"/>
    <d v="1899-12-30T07:12:00"/>
    <m/>
    <d v="1899-12-30T00:04:17"/>
    <n v="0.20765304134356855"/>
    <n v="0.99008487654321009"/>
  </r>
  <r>
    <x v="75"/>
    <x v="1"/>
    <x v="3"/>
    <x v="18"/>
    <x v="0"/>
    <d v="1899-12-30T01:12:48"/>
    <d v="1899-12-30T07:58:38"/>
    <d v="1899-12-30T15:12:41"/>
    <d v="1899-12-30T07:14:03"/>
    <d v="1899-12-30T07:12:00"/>
    <d v="1899-12-30T00:02:03"/>
    <m/>
    <n v="0.16772261260223478"/>
    <n v="1.0047453703703704"/>
  </r>
  <r>
    <x v="76"/>
    <x v="1"/>
    <x v="3"/>
    <x v="18"/>
    <x v="0"/>
    <d v="1899-12-30T01:25:08"/>
    <d v="1899-12-30T08:00:08"/>
    <d v="1899-12-30T15:14:30"/>
    <d v="1899-12-30T07:14:22"/>
    <d v="1899-12-30T07:12:00"/>
    <d v="1899-12-30T00:02:22"/>
    <m/>
    <n v="0.19599416775381778"/>
    <n v="1.0054783950617285"/>
  </r>
  <r>
    <x v="77"/>
    <x v="1"/>
    <x v="3"/>
    <x v="18"/>
    <x v="0"/>
    <d v="1899-12-30T01:42:35"/>
    <d v="1899-12-30T08:05:55"/>
    <d v="1899-12-30T15:51:40"/>
    <d v="1899-12-30T07:45:45"/>
    <d v="1899-12-30T07:12:00"/>
    <d v="1899-12-30T00:33:45"/>
    <m/>
    <n v="0.22025407049561635"/>
    <n v="1.0781250000000002"/>
  </r>
  <r>
    <x v="78"/>
    <x v="1"/>
    <x v="3"/>
    <x v="18"/>
    <x v="0"/>
    <d v="1899-12-30T01:43:17"/>
    <d v="1899-12-30T08:05:33"/>
    <d v="1899-12-30T16:08:14"/>
    <d v="1899-12-30T08:02:41"/>
    <d v="1899-12-30T07:12:00"/>
    <d v="1899-12-30T00:50:41"/>
    <m/>
    <n v="0.21397741790684019"/>
    <n v="1.1173225308641976"/>
  </r>
  <r>
    <x v="79"/>
    <x v="1"/>
    <x v="4"/>
    <x v="18"/>
    <x v="0"/>
    <d v="1899-12-30T01:01:13"/>
    <d v="1899-12-30T09:43:18"/>
    <d v="1899-12-30T15:14:06"/>
    <d v="1899-12-30T05:30:48"/>
    <d v="1899-12-30T07:12:00"/>
    <m/>
    <d v="1899-12-30T01:41:12"/>
    <n v="0.18505642885933093"/>
    <n v="0.76574074074074072"/>
  </r>
  <r>
    <x v="80"/>
    <x v="1"/>
    <x v="4"/>
    <x v="18"/>
    <x v="0"/>
    <d v="1899-12-30T01:36:06"/>
    <d v="1899-12-30T07:58:54"/>
    <d v="1899-12-30T15:14:15"/>
    <d v="1899-12-30T07:15:21"/>
    <d v="1899-12-30T07:12:00"/>
    <d v="1899-12-30T00:03:21"/>
    <m/>
    <n v="0.22074193177902834"/>
    <n v="1.0077546296296298"/>
  </r>
  <r>
    <x v="81"/>
    <x v="1"/>
    <x v="4"/>
    <x v="18"/>
    <x v="0"/>
    <d v="1899-12-30T01:33:53"/>
    <d v="1899-12-30T08:09:48"/>
    <d v="1899-12-30T15:52:13"/>
    <d v="1899-12-30T07:42:25"/>
    <d v="1899-12-30T07:12:00"/>
    <d v="1899-12-30T00:30:25"/>
    <m/>
    <n v="0.203027572535592"/>
    <n v="1.070408950617284"/>
  </r>
  <r>
    <x v="82"/>
    <x v="1"/>
    <x v="4"/>
    <x v="18"/>
    <x v="0"/>
    <d v="1899-12-30T01:21:34"/>
    <d v="1899-12-30T08:08:09"/>
    <d v="1899-12-30T15:13:18"/>
    <d v="1899-12-30T07:05:09"/>
    <d v="1899-12-30T07:12:00"/>
    <m/>
    <d v="1899-12-30T00:06:51"/>
    <n v="0.19185385550197967"/>
    <n v="0.98414351851851867"/>
  </r>
  <r>
    <x v="83"/>
    <x v="1"/>
    <x v="4"/>
    <x v="18"/>
    <x v="0"/>
    <d v="1899-12-30T00:58:51"/>
    <d v="1899-12-30T08:15:24"/>
    <d v="1899-12-30T15:15:18"/>
    <d v="1899-12-30T06:59:54"/>
    <d v="1899-12-30T07:12:00"/>
    <m/>
    <d v="1899-12-30T00:12:06"/>
    <n v="0.14015241724220051"/>
    <n v="0.97199074074074077"/>
  </r>
  <r>
    <x v="84"/>
    <x v="1"/>
    <x v="4"/>
    <x v="18"/>
    <x v="0"/>
    <d v="1899-12-30T01:31:32"/>
    <d v="1899-12-30T08:00:00"/>
    <d v="1899-12-30T17:16:58"/>
    <d v="1899-12-30T09:16:58"/>
    <d v="1899-12-30T07:12:00"/>
    <d v="1899-12-30T02:04:58"/>
    <m/>
    <n v="0.1643425698725238"/>
    <n v="1.2892746913580246"/>
  </r>
  <r>
    <x v="85"/>
    <x v="1"/>
    <x v="4"/>
    <x v="18"/>
    <x v="0"/>
    <d v="1899-12-30T01:28:19"/>
    <d v="1899-12-30T08:02:58"/>
    <d v="1899-12-30T16:42:54"/>
    <d v="1899-12-30T08:39:56"/>
    <d v="1899-12-30T07:12:00"/>
    <d v="1899-12-30T01:27:56"/>
    <m/>
    <n v="0.16986152070778307"/>
    <n v="1.2035493827160493"/>
  </r>
  <r>
    <x v="86"/>
    <x v="1"/>
    <x v="4"/>
    <x v="18"/>
    <x v="0"/>
    <d v="1899-12-30T01:04:30"/>
    <d v="1899-12-30T08:12:58"/>
    <d v="1899-12-30T15:13:50"/>
    <d v="1899-12-30T07:00:52"/>
    <d v="1899-12-30T07:12:00"/>
    <m/>
    <d v="1899-12-30T00:11:08"/>
    <n v="0.15325518770790433"/>
    <n v="0.97422839506172831"/>
  </r>
  <r>
    <x v="87"/>
    <x v="1"/>
    <x v="4"/>
    <x v="18"/>
    <x v="0"/>
    <d v="1899-12-30T01:10:53"/>
    <d v="1899-12-30T08:02:25"/>
    <d v="1899-12-30T15:12:47"/>
    <d v="1899-12-30T07:10:22"/>
    <d v="1899-12-30T07:12:00"/>
    <m/>
    <d v="1899-12-30T00:01:38"/>
    <n v="0.16470451552939355"/>
    <n v="0.99621913580246912"/>
  </r>
  <r>
    <x v="88"/>
    <x v="1"/>
    <x v="4"/>
    <x v="18"/>
    <x v="0"/>
    <d v="1899-12-30T01:14:25"/>
    <d v="1899-12-30T08:08:21"/>
    <d v="1899-12-30T15:12:38"/>
    <d v="1899-12-30T07:04:17"/>
    <d v="1899-12-30T07:12:00"/>
    <m/>
    <d v="1899-12-30T00:07:43"/>
    <n v="0.17539380131201635"/>
    <n v="0.98213734567901223"/>
  </r>
  <r>
    <x v="89"/>
    <x v="1"/>
    <x v="4"/>
    <x v="18"/>
    <x v="0"/>
    <d v="1899-12-30T01:04:18"/>
    <d v="1899-12-30T08:15:41"/>
    <d v="1899-12-30T15:12:48"/>
    <d v="1899-12-30T06:57:07"/>
    <d v="1899-12-30T07:12:00"/>
    <m/>
    <d v="1899-12-30T00:14:53"/>
    <n v="0.154153514204659"/>
    <n v="0.96554783950617273"/>
  </r>
  <r>
    <x v="90"/>
    <x v="1"/>
    <x v="4"/>
    <x v="18"/>
    <x v="0"/>
    <d v="1899-12-30T00:38:22"/>
    <d v="1899-12-30T07:57:29"/>
    <d v="1899-12-30T11:47:51"/>
    <d v="1899-12-30T03:50:22"/>
    <d v="1899-12-30T07:12:00"/>
    <m/>
    <d v="1899-12-30T03:21:38"/>
    <n v="0.16654608594993489"/>
    <n v="0.53325617283950622"/>
  </r>
  <r>
    <x v="89"/>
    <x v="1"/>
    <x v="4"/>
    <x v="26"/>
    <x v="3"/>
    <d v="1899-12-30T01:10:42"/>
    <d v="1899-12-30T08:00:00"/>
    <d v="1899-12-30T16:24:57"/>
    <d v="1899-12-30T08:24:57"/>
    <d v="1899-12-30T07:12:00"/>
    <d v="1899-12-30T01:12:57"/>
    <m/>
    <n v="0.14001386275868896"/>
    <n v="1.1688657407407408"/>
  </r>
  <r>
    <x v="90"/>
    <x v="1"/>
    <x v="4"/>
    <x v="26"/>
    <x v="3"/>
    <d v="1899-12-30T01:03:57"/>
    <d v="1899-12-30T08:02:55"/>
    <d v="1899-12-30T15:13:02"/>
    <d v="1899-12-30T07:10:07"/>
    <d v="1899-12-30T07:12:00"/>
    <m/>
    <d v="1899-12-30T00:01:53"/>
    <n v="0.14868059053745108"/>
    <n v="0.99564043209876552"/>
  </r>
  <r>
    <x v="91"/>
    <x v="1"/>
    <x v="4"/>
    <x v="26"/>
    <x v="3"/>
    <d v="1899-12-30T00:50:12"/>
    <d v="1899-12-30T08:43:24"/>
    <d v="1899-12-30T15:31:32"/>
    <d v="1899-12-30T06:48:08"/>
    <d v="1899-12-30T07:12:00"/>
    <m/>
    <d v="1899-12-30T00:23:52"/>
    <n v="0.12299901992812805"/>
    <n v="0.94475308641975331"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  <r>
    <x v="92"/>
    <x v="2"/>
    <x v="5"/>
    <x v="27"/>
    <x v="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E2CFA-4E69-44B0-90E7-3C08B7716929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E30" firstHeaderRow="0" firstDataRow="1" firstDataCol="1" rowPageCount="3" colPageCount="1"/>
  <pivotFields count="14">
    <pivotField axis="axisPage" multipleItemSelectionAllowed="1" showAll="0">
      <items count="323"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h="1" x="92"/>
        <item m="1" x="140"/>
        <item m="1" x="151"/>
        <item m="1" x="152"/>
        <item m="1" x="146"/>
        <item m="1" x="148"/>
        <item m="1" x="158"/>
        <item m="1" x="154"/>
        <item m="1" x="155"/>
        <item m="1" x="153"/>
        <item m="1" x="150"/>
        <item m="1" x="142"/>
        <item m="1" x="157"/>
        <item m="1" x="147"/>
        <item m="1" x="156"/>
        <item m="1" x="141"/>
        <item m="1" x="139"/>
        <item m="1" x="144"/>
        <item m="1" x="143"/>
        <item m="1" x="145"/>
        <item m="1" x="149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8"/>
        <item m="1" x="209"/>
        <item m="1" x="210"/>
        <item m="1" x="211"/>
        <item m="1" x="212"/>
        <item m="1" x="213"/>
        <item m="1" x="214"/>
        <item m="1" x="207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6"/>
        <item m="1" x="285"/>
        <item m="1" x="287"/>
        <item m="1" x="288"/>
        <item m="1" x="289"/>
        <item m="1" x="292"/>
        <item m="1" x="290"/>
        <item m="1" x="291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axis="axisPage" multipleItemSelectionAllowed="1" showAll="0">
      <items count="4">
        <item h="1" x="0"/>
        <item h="1" x="2"/>
        <item x="1"/>
        <item t="default"/>
      </items>
    </pivotField>
    <pivotField axis="axisPage" multipleItemSelectionAllowed="1" showAll="0">
      <items count="14">
        <item h="1" x="1"/>
        <item h="1" x="2"/>
        <item h="1" x="3"/>
        <item h="1" x="5"/>
        <item x="4"/>
        <item h="1" m="1" x="6"/>
        <item h="1" m="1" x="7"/>
        <item h="1" m="1" x="8"/>
        <item h="1" m="1" x="9"/>
        <item h="1" m="1" x="10"/>
        <item h="1" m="1" x="11"/>
        <item h="1" m="1" x="12"/>
        <item h="1" x="0"/>
        <item t="default"/>
      </items>
    </pivotField>
    <pivotField axis="axisRow" showAll="0">
      <items count="55">
        <item m="1" x="28"/>
        <item m="1" x="51"/>
        <item x="0"/>
        <item x="2"/>
        <item m="1" x="31"/>
        <item x="3"/>
        <item m="1" x="42"/>
        <item x="4"/>
        <item m="1" x="48"/>
        <item m="1" x="38"/>
        <item m="1" x="33"/>
        <item m="1" x="37"/>
        <item x="6"/>
        <item x="7"/>
        <item x="8"/>
        <item m="1" x="45"/>
        <item x="9"/>
        <item m="1" x="50"/>
        <item x="19"/>
        <item m="1" x="32"/>
        <item m="1" x="29"/>
        <item m="1" x="39"/>
        <item m="1" x="34"/>
        <item m="1" x="47"/>
        <item m="1" x="40"/>
        <item m="1" x="46"/>
        <item x="10"/>
        <item x="11"/>
        <item m="1" x="49"/>
        <item x="12"/>
        <item x="13"/>
        <item x="15"/>
        <item m="1" x="44"/>
        <item x="16"/>
        <item m="1" x="41"/>
        <item m="1" x="30"/>
        <item m="1" x="52"/>
        <item m="1" x="36"/>
        <item x="17"/>
        <item m="1" x="35"/>
        <item x="18"/>
        <item m="1" x="43"/>
        <item x="27"/>
        <item x="1"/>
        <item m="1" x="53"/>
        <item x="14"/>
        <item x="5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11">
        <item x="3"/>
        <item x="0"/>
        <item m="1" x="6"/>
        <item x="2"/>
        <item x="4"/>
        <item x="1"/>
        <item x="5"/>
        <item m="1" x="8"/>
        <item m="1" x="7"/>
        <item m="1" x="9"/>
        <item t="default"/>
      </items>
    </pivotField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</pivotFields>
  <rowFields count="2">
    <field x="4"/>
    <field x="3"/>
  </rowFields>
  <rowItems count="25">
    <i>
      <x/>
    </i>
    <i r="1">
      <x v="26"/>
    </i>
    <i r="1">
      <x v="45"/>
    </i>
    <i r="1">
      <x v="53"/>
    </i>
    <i>
      <x v="1"/>
    </i>
    <i r="1">
      <x v="2"/>
    </i>
    <i r="1">
      <x v="3"/>
    </i>
    <i r="1">
      <x v="5"/>
    </i>
    <i r="1">
      <x v="12"/>
    </i>
    <i r="1">
      <x v="13"/>
    </i>
    <i r="1">
      <x v="18"/>
    </i>
    <i r="1">
      <x v="30"/>
    </i>
    <i r="1">
      <x v="31"/>
    </i>
    <i r="1">
      <x v="40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4"/>
    </i>
    <i r="1"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-1"/>
    <pageField fld="2" hier="-1"/>
    <pageField fld="0" hier="-1"/>
  </pageFields>
  <dataFields count="4">
    <dataField name="HORAS POS" fld="10" baseField="3" baseItem="46"/>
    <dataField name="Soma de DEFICT" fld="11" baseField="4" baseItem="0"/>
    <dataField name="Média de TEMPO LOGADO" fld="8" subtotal="average" baseField="4" baseItem="0"/>
    <dataField name="PAUSAS" fld="5" subtotal="average" baseField="4" baseItem="0"/>
  </dataFields>
  <formats count="10">
    <format dxfId="9">
      <pivotArea outline="0" collapsedLevelsAreSubtotals="1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2"/>
          </reference>
          <reference field="3" count="1">
            <x v="14"/>
          </reference>
          <reference field="4" count="1" selected="0">
            <x v="5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2"/>
          </reference>
          <reference field="3" count="1">
            <x v="40"/>
          </reference>
          <reference field="4" count="1" selected="0">
            <x v="3"/>
          </reference>
        </references>
      </pivotArea>
    </format>
    <format dxfId="3">
      <pivotArea grandRow="1" outline="0" collapsedLevelsAreSubtotals="1" fieldPosition="0"/>
    </format>
    <format dxfId="2">
      <pivotArea grandRow="1" outline="0" collapsedLevelsAreSubtotals="1" fieldPosition="0"/>
    </format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C64E-EF9C-4B74-AD61-8EE987713462}">
  <dimension ref="A1:M69"/>
  <sheetViews>
    <sheetView showGridLines="0" workbookViewId="0">
      <selection activeCell="L7" sqref="L7"/>
    </sheetView>
  </sheetViews>
  <sheetFormatPr defaultRowHeight="14.4" x14ac:dyDescent="0.3"/>
  <cols>
    <col min="1" max="1" width="40.44140625" bestFit="1" customWidth="1"/>
    <col min="2" max="2" width="13.6640625" style="12" bestFit="1" customWidth="1"/>
    <col min="3" max="3" width="14.5546875" style="12" bestFit="1" customWidth="1"/>
    <col min="4" max="4" width="22.5546875" style="12" bestFit="1" customWidth="1"/>
    <col min="5" max="5" width="8.109375" bestFit="1" customWidth="1"/>
    <col min="6" max="6" width="8.88671875" style="12"/>
    <col min="10" max="10" width="8.88671875" style="28"/>
  </cols>
  <sheetData>
    <row r="1" spans="1:13" x14ac:dyDescent="0.3">
      <c r="A1" s="9" t="s">
        <v>1</v>
      </c>
      <c r="B1" s="10">
        <v>2026</v>
      </c>
      <c r="C1" s="33">
        <v>0.3</v>
      </c>
      <c r="D1" s="33">
        <v>0.25</v>
      </c>
    </row>
    <row r="2" spans="1:13" x14ac:dyDescent="0.3">
      <c r="A2" s="9" t="s">
        <v>2</v>
      </c>
      <c r="B2" t="s">
        <v>79</v>
      </c>
      <c r="D2" s="44"/>
    </row>
    <row r="3" spans="1:13" x14ac:dyDescent="0.3">
      <c r="A3" s="9" t="s">
        <v>0</v>
      </c>
      <c r="B3" t="s">
        <v>78</v>
      </c>
    </row>
    <row r="4" spans="1:13" x14ac:dyDescent="0.3">
      <c r="B4"/>
    </row>
    <row r="5" spans="1:13" x14ac:dyDescent="0.3">
      <c r="A5" s="9" t="s">
        <v>35</v>
      </c>
      <c r="B5" s="12" t="s">
        <v>37</v>
      </c>
      <c r="C5" s="12" t="s">
        <v>72</v>
      </c>
      <c r="D5" s="12" t="s">
        <v>73</v>
      </c>
      <c r="E5" s="12" t="s">
        <v>67</v>
      </c>
      <c r="F5" s="36" t="s">
        <v>74</v>
      </c>
    </row>
    <row r="6" spans="1:13" x14ac:dyDescent="0.3">
      <c r="A6" s="10" t="s">
        <v>21</v>
      </c>
      <c r="B6" s="13">
        <v>0.32724537037037044</v>
      </c>
      <c r="C6" s="13">
        <v>8.3449074074074078E-2</v>
      </c>
      <c r="D6" s="13">
        <v>0.30840676883780327</v>
      </c>
      <c r="E6" s="13">
        <v>4.9929757343550436E-2</v>
      </c>
      <c r="F6" s="37"/>
    </row>
    <row r="7" spans="1:13" x14ac:dyDescent="0.3">
      <c r="A7" s="11" t="s">
        <v>25</v>
      </c>
      <c r="B7" s="13">
        <v>0.2343402777777778</v>
      </c>
      <c r="C7" s="13">
        <v>2.4305555555555555E-4</v>
      </c>
      <c r="D7" s="13">
        <v>0.31800747863247864</v>
      </c>
      <c r="E7" s="13">
        <v>5.3569266381766373E-2</v>
      </c>
      <c r="F7" s="39">
        <f>E7/$C$1</f>
        <v>0.17856422127255459</v>
      </c>
    </row>
    <row r="8" spans="1:13" x14ac:dyDescent="0.3">
      <c r="A8" s="11" t="s">
        <v>68</v>
      </c>
      <c r="B8" s="13">
        <v>4.2245370370370371E-2</v>
      </c>
      <c r="C8" s="13">
        <v>6.5324074074074076E-2</v>
      </c>
      <c r="D8" s="13">
        <v>0.2982247150997151</v>
      </c>
      <c r="E8" s="13">
        <v>4.793803418803419E-2</v>
      </c>
      <c r="F8" s="39">
        <f>E8/$D$1</f>
        <v>0.19175213675213676</v>
      </c>
    </row>
    <row r="9" spans="1:13" x14ac:dyDescent="0.3">
      <c r="A9" s="11" t="s">
        <v>88</v>
      </c>
      <c r="B9" s="13">
        <v>5.0659722222222224E-2</v>
      </c>
      <c r="C9" s="13">
        <v>1.7881944444444443E-2</v>
      </c>
      <c r="D9" s="13">
        <v>0.31092592592592599</v>
      </c>
      <c r="E9" s="13">
        <v>4.2789351851851863E-2</v>
      </c>
      <c r="F9" s="39">
        <f>E9/$D$1</f>
        <v>0.17115740740740745</v>
      </c>
      <c r="M9" s="24"/>
    </row>
    <row r="10" spans="1:13" x14ac:dyDescent="0.3">
      <c r="A10" s="10" t="s">
        <v>34</v>
      </c>
      <c r="B10" s="13">
        <v>1.415486111111111</v>
      </c>
      <c r="C10" s="13">
        <v>1.1765972222222225</v>
      </c>
      <c r="D10" s="13">
        <v>0.29864672364672346</v>
      </c>
      <c r="E10" s="13">
        <v>4.1751617402659078E-2</v>
      </c>
      <c r="F10" s="37"/>
      <c r="M10" s="24"/>
    </row>
    <row r="11" spans="1:13" x14ac:dyDescent="0.3">
      <c r="A11" s="11" t="s">
        <v>16</v>
      </c>
      <c r="B11" s="13">
        <v>0.22695601851851852</v>
      </c>
      <c r="C11" s="13">
        <v>0.14677083333333335</v>
      </c>
      <c r="D11" s="13">
        <v>0.30616809116809124</v>
      </c>
      <c r="E11" s="13">
        <v>4.2903311965811972E-2</v>
      </c>
      <c r="F11" s="39">
        <f t="shared" ref="F11" si="0">E11/$C$1</f>
        <v>0.14301103988603991</v>
      </c>
      <c r="M11" s="24"/>
    </row>
    <row r="12" spans="1:13" x14ac:dyDescent="0.3">
      <c r="A12" s="11" t="s">
        <v>18</v>
      </c>
      <c r="B12" s="13">
        <v>1.8287037037037037E-3</v>
      </c>
      <c r="C12" s="13">
        <v>8.9120370370370373E-4</v>
      </c>
      <c r="D12" s="13">
        <v>0.30046874999999995</v>
      </c>
      <c r="E12" s="13">
        <v>4.6006944444444448E-2</v>
      </c>
      <c r="F12" s="39">
        <f>E12/$C$1</f>
        <v>0.15335648148148151</v>
      </c>
      <c r="I12" s="24"/>
    </row>
    <row r="13" spans="1:13" x14ac:dyDescent="0.3">
      <c r="A13" s="11" t="s">
        <v>19</v>
      </c>
      <c r="B13" s="13">
        <v>0.11268518518518519</v>
      </c>
      <c r="C13" s="13">
        <v>4.9398148148148149E-2</v>
      </c>
      <c r="D13" s="13">
        <v>0.30486823361823356</v>
      </c>
      <c r="E13" s="13">
        <v>4.7802706552706541E-2</v>
      </c>
      <c r="F13" s="39">
        <f t="shared" ref="F13:F17" si="1">E13/$C$1</f>
        <v>0.15934235517568848</v>
      </c>
      <c r="I13" s="24"/>
    </row>
    <row r="14" spans="1:13" x14ac:dyDescent="0.3">
      <c r="A14" s="11" t="s">
        <v>22</v>
      </c>
      <c r="B14" s="13">
        <v>0.1252662037037037</v>
      </c>
      <c r="C14" s="13">
        <v>1.7905092592592591E-2</v>
      </c>
      <c r="D14" s="13">
        <v>0.30825854700854699</v>
      </c>
      <c r="E14" s="13">
        <v>3.6789529914529925E-2</v>
      </c>
      <c r="F14" s="39">
        <f t="shared" si="1"/>
        <v>0.12263176638176643</v>
      </c>
      <c r="I14" s="24"/>
    </row>
    <row r="15" spans="1:13" x14ac:dyDescent="0.3">
      <c r="A15" s="11" t="s">
        <v>33</v>
      </c>
      <c r="B15" s="13">
        <v>0.13769675925925928</v>
      </c>
      <c r="C15" s="13">
        <v>1.1921296296296296E-3</v>
      </c>
      <c r="D15" s="13">
        <v>0.31050035612535615</v>
      </c>
      <c r="E15" s="13">
        <v>3.7467948717948715E-2</v>
      </c>
      <c r="F15" s="39">
        <f t="shared" si="1"/>
        <v>0.12489316239316239</v>
      </c>
    </row>
    <row r="16" spans="1:13" x14ac:dyDescent="0.3">
      <c r="A16" s="11" t="s">
        <v>24</v>
      </c>
      <c r="B16" s="13">
        <v>4.461805555555555E-2</v>
      </c>
      <c r="C16" s="13">
        <v>0.2543287037037037</v>
      </c>
      <c r="D16" s="13">
        <v>0.28386841168091165</v>
      </c>
      <c r="E16" s="13">
        <v>4.5543091168091174E-2</v>
      </c>
      <c r="F16" s="39">
        <f t="shared" si="1"/>
        <v>0.15181030389363726</v>
      </c>
    </row>
    <row r="17" spans="1:8" x14ac:dyDescent="0.3">
      <c r="A17" s="11" t="s">
        <v>27</v>
      </c>
      <c r="B17" s="13">
        <v>4.4837962962962968E-2</v>
      </c>
      <c r="C17" s="13">
        <v>3.1481481481481482E-3</v>
      </c>
      <c r="D17" s="13">
        <v>0.30378998316498312</v>
      </c>
      <c r="E17" s="13">
        <v>3.40530303030303E-2</v>
      </c>
      <c r="F17" s="39">
        <f t="shared" si="1"/>
        <v>0.11351010101010101</v>
      </c>
    </row>
    <row r="18" spans="1:8" x14ac:dyDescent="0.3">
      <c r="A18" s="11" t="s">
        <v>32</v>
      </c>
      <c r="B18" s="13">
        <v>0.14408564814814817</v>
      </c>
      <c r="C18" s="13">
        <v>2.8611111111111111E-2</v>
      </c>
      <c r="D18" s="13">
        <v>0.30888265669515669</v>
      </c>
      <c r="E18" s="13">
        <v>4.7750178062678054E-2</v>
      </c>
      <c r="F18" s="39">
        <f>E18/$C$1</f>
        <v>0.15916726020892685</v>
      </c>
      <c r="H18" s="24"/>
    </row>
    <row r="19" spans="1:8" x14ac:dyDescent="0.3">
      <c r="A19" s="11" t="s">
        <v>29</v>
      </c>
      <c r="B19" s="13">
        <v>0.17129629629629628</v>
      </c>
      <c r="C19" s="13">
        <v>0.2480208333333333</v>
      </c>
      <c r="D19" s="13">
        <v>0.2936062885802469</v>
      </c>
      <c r="E19" s="13">
        <v>5.1153549382716046E-2</v>
      </c>
      <c r="F19" s="39">
        <f>E19/$D$1</f>
        <v>0.20461419753086418</v>
      </c>
      <c r="H19" s="24"/>
    </row>
    <row r="20" spans="1:8" x14ac:dyDescent="0.3">
      <c r="A20" s="11" t="s">
        <v>47</v>
      </c>
      <c r="B20" s="13"/>
      <c r="C20" s="13">
        <v>0.2096064814814815</v>
      </c>
      <c r="D20" s="13">
        <v>0.22671039094650208</v>
      </c>
      <c r="E20" s="13">
        <v>4.5661008230452667E-2</v>
      </c>
      <c r="F20" s="39">
        <f t="shared" ref="F20:F27" si="2">E20/$C$1</f>
        <v>0.15220336076817556</v>
      </c>
      <c r="H20" s="13"/>
    </row>
    <row r="21" spans="1:8" x14ac:dyDescent="0.3">
      <c r="A21" s="11" t="s">
        <v>69</v>
      </c>
      <c r="B21" s="13">
        <v>0.34149305555555559</v>
      </c>
      <c r="C21" s="13">
        <v>2.5937499999999999E-2</v>
      </c>
      <c r="D21" s="13">
        <v>0.32629629629629631</v>
      </c>
      <c r="E21" s="13">
        <v>4.0453317901234562E-2</v>
      </c>
      <c r="F21" s="39">
        <f t="shared" si="2"/>
        <v>0.13484439300411522</v>
      </c>
      <c r="H21" s="24"/>
    </row>
    <row r="22" spans="1:8" x14ac:dyDescent="0.3">
      <c r="A22" s="11" t="s">
        <v>76</v>
      </c>
      <c r="B22" s="13">
        <v>4.9189814814814816E-3</v>
      </c>
      <c r="C22" s="13">
        <v>2.9409722222222219E-2</v>
      </c>
      <c r="D22" s="13">
        <v>0.29777356902356905</v>
      </c>
      <c r="E22" s="13">
        <v>4.0740740740740737E-2</v>
      </c>
      <c r="F22" s="39">
        <f t="shared" si="2"/>
        <v>0.13580246913580246</v>
      </c>
      <c r="H22" s="24"/>
    </row>
    <row r="23" spans="1:8" x14ac:dyDescent="0.3">
      <c r="A23" s="11" t="s">
        <v>77</v>
      </c>
      <c r="B23" s="13">
        <v>5.2071759259259255E-2</v>
      </c>
      <c r="C23" s="13">
        <v>6.626157407407407E-2</v>
      </c>
      <c r="D23" s="13">
        <v>0.29890847578347579</v>
      </c>
      <c r="E23" s="13">
        <v>3.2653133903133909E-2</v>
      </c>
      <c r="F23" s="39">
        <f t="shared" si="2"/>
        <v>0.10884377967711303</v>
      </c>
    </row>
    <row r="24" spans="1:8" x14ac:dyDescent="0.3">
      <c r="A24" s="11" t="s">
        <v>86</v>
      </c>
      <c r="B24" s="13"/>
      <c r="C24" s="13">
        <v>4.1296296296296296E-2</v>
      </c>
      <c r="D24" s="13">
        <v>0.25870370370370371</v>
      </c>
      <c r="E24" s="13">
        <v>2.7997685185185184E-2</v>
      </c>
      <c r="F24" s="39">
        <f t="shared" si="2"/>
        <v>9.3325617283950613E-2</v>
      </c>
    </row>
    <row r="25" spans="1:8" x14ac:dyDescent="0.3">
      <c r="A25" s="11" t="s">
        <v>91</v>
      </c>
      <c r="B25" s="13"/>
      <c r="C25" s="13">
        <v>5.3460648148148146E-2</v>
      </c>
      <c r="D25" s="13">
        <v>0.24653935185185186</v>
      </c>
      <c r="E25" s="13">
        <v>4.6608796296296294E-2</v>
      </c>
      <c r="F25" s="39">
        <f t="shared" si="2"/>
        <v>0.15536265432098764</v>
      </c>
    </row>
    <row r="26" spans="1:8" x14ac:dyDescent="0.3">
      <c r="A26" s="11" t="s">
        <v>85</v>
      </c>
      <c r="B26" s="13">
        <v>3.4953703703703709E-3</v>
      </c>
      <c r="C26" s="13"/>
      <c r="D26" s="13">
        <v>0.30116512345679008</v>
      </c>
      <c r="E26" s="13">
        <v>4.1608796296296297E-2</v>
      </c>
      <c r="F26" s="39">
        <f t="shared" si="2"/>
        <v>0.13869598765432101</v>
      </c>
    </row>
    <row r="27" spans="1:8" x14ac:dyDescent="0.3">
      <c r="A27" s="11" t="s">
        <v>87</v>
      </c>
      <c r="B27" s="13">
        <v>4.2361111111111115E-3</v>
      </c>
      <c r="C27" s="13">
        <v>3.5879629629629629E-4</v>
      </c>
      <c r="D27" s="13">
        <v>0.30129243827160496</v>
      </c>
      <c r="E27" s="13">
        <v>3.5671296296296291E-2</v>
      </c>
      <c r="F27" s="39">
        <f t="shared" si="2"/>
        <v>0.11890432098765431</v>
      </c>
    </row>
    <row r="28" spans="1:8" x14ac:dyDescent="0.3">
      <c r="A28" s="10" t="s">
        <v>15</v>
      </c>
      <c r="B28" s="13">
        <v>4.2905092592592592E-2</v>
      </c>
      <c r="C28" s="13">
        <v>1.1921296296296296E-2</v>
      </c>
      <c r="D28" s="13">
        <v>0.30516396604938273</v>
      </c>
      <c r="E28" s="13">
        <v>4.2851080246913587E-2</v>
      </c>
      <c r="F28" s="37"/>
    </row>
    <row r="29" spans="1:8" x14ac:dyDescent="0.3">
      <c r="A29" s="11" t="s">
        <v>26</v>
      </c>
      <c r="B29" s="13">
        <v>4.2905092592592592E-2</v>
      </c>
      <c r="C29" s="13">
        <v>1.1921296296296296E-2</v>
      </c>
      <c r="D29" s="13">
        <v>0.30516396604938273</v>
      </c>
      <c r="E29" s="13">
        <v>4.2851080246913587E-2</v>
      </c>
      <c r="F29" s="39">
        <f>E23/$C$1</f>
        <v>0.10884377967711303</v>
      </c>
    </row>
    <row r="30" spans="1:8" x14ac:dyDescent="0.3">
      <c r="A30" s="10" t="s">
        <v>36</v>
      </c>
      <c r="B30" s="42">
        <v>1.7856365740740741</v>
      </c>
      <c r="C30" s="42">
        <v>1.2719675925925928</v>
      </c>
      <c r="D30" s="42">
        <v>0.30033334545278245</v>
      </c>
      <c r="E30" s="42">
        <v>4.3027862613922822E-2</v>
      </c>
      <c r="F30" s="38"/>
      <c r="H30" s="24"/>
    </row>
    <row r="31" spans="1:8" x14ac:dyDescent="0.3">
      <c r="B31"/>
      <c r="H31" s="26"/>
    </row>
    <row r="32" spans="1:8" x14ac:dyDescent="0.3">
      <c r="B32"/>
    </row>
    <row r="33" spans="2:6" x14ac:dyDescent="0.3">
      <c r="B33"/>
      <c r="F33" s="39"/>
    </row>
    <row r="34" spans="2:6" x14ac:dyDescent="0.3">
      <c r="B34"/>
      <c r="F34" s="39"/>
    </row>
    <row r="35" spans="2:6" x14ac:dyDescent="0.3">
      <c r="B35"/>
      <c r="F35" s="39"/>
    </row>
    <row r="36" spans="2:6" x14ac:dyDescent="0.3">
      <c r="B36"/>
      <c r="F36" s="39"/>
    </row>
    <row r="37" spans="2:6" x14ac:dyDescent="0.3">
      <c r="B37"/>
      <c r="F37" s="39"/>
    </row>
    <row r="38" spans="2:6" x14ac:dyDescent="0.3">
      <c r="B38"/>
      <c r="F38" s="39"/>
    </row>
    <row r="39" spans="2:6" x14ac:dyDescent="0.3">
      <c r="B39"/>
      <c r="F39" s="39"/>
    </row>
    <row r="40" spans="2:6" x14ac:dyDescent="0.3">
      <c r="B40"/>
      <c r="F40" s="39"/>
    </row>
    <row r="41" spans="2:6" x14ac:dyDescent="0.3">
      <c r="B41"/>
    </row>
    <row r="42" spans="2:6" x14ac:dyDescent="0.3">
      <c r="B42"/>
    </row>
    <row r="43" spans="2:6" x14ac:dyDescent="0.3">
      <c r="B43"/>
    </row>
    <row r="44" spans="2:6" x14ac:dyDescent="0.3">
      <c r="B44"/>
    </row>
    <row r="45" spans="2:6" x14ac:dyDescent="0.3">
      <c r="B45"/>
    </row>
    <row r="46" spans="2:6" x14ac:dyDescent="0.3">
      <c r="B46"/>
    </row>
    <row r="47" spans="2:6" x14ac:dyDescent="0.3">
      <c r="B47"/>
    </row>
    <row r="48" spans="2:6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97D5-0E2E-4A69-BF5C-229A58760375}">
  <dimension ref="A1:N1326"/>
  <sheetViews>
    <sheetView showGridLines="0" tabSelected="1" workbookViewId="0">
      <pane ySplit="1" topLeftCell="A1307" activePane="bottomLeft" state="frozen"/>
      <selection pane="bottomLeft" activeCell="I1330" sqref="I1330"/>
    </sheetView>
  </sheetViews>
  <sheetFormatPr defaultRowHeight="14.4" x14ac:dyDescent="0.3"/>
  <cols>
    <col min="1" max="1" width="9.88671875" bestFit="1" customWidth="1"/>
    <col min="2" max="2" width="9.33203125" bestFit="1" customWidth="1"/>
    <col min="3" max="3" width="8.88671875" bestFit="1" customWidth="1"/>
    <col min="4" max="4" width="34.5546875" customWidth="1"/>
    <col min="5" max="5" width="11.6640625" style="10" bestFit="1" customWidth="1"/>
    <col min="6" max="6" width="12.5546875" bestFit="1" customWidth="1"/>
    <col min="7" max="8" width="18.6640625" bestFit="1" customWidth="1"/>
    <col min="9" max="9" width="16.33203125" bestFit="1" customWidth="1"/>
    <col min="10" max="10" width="10" bestFit="1" customWidth="1"/>
    <col min="11" max="11" width="14.44140625" style="28" customWidth="1"/>
    <col min="12" max="12" width="10.6640625" style="28" bestFit="1" customWidth="1"/>
    <col min="13" max="13" width="10" bestFit="1" customWidth="1"/>
    <col min="14" max="14" width="18.33203125" bestFit="1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1" t="s">
        <v>3</v>
      </c>
      <c r="E1" s="32" t="s">
        <v>4</v>
      </c>
      <c r="F1" s="1" t="s">
        <v>5</v>
      </c>
      <c r="G1" s="6" t="s">
        <v>6</v>
      </c>
      <c r="H1" s="6" t="s">
        <v>7</v>
      </c>
      <c r="I1" s="1" t="s">
        <v>8</v>
      </c>
      <c r="J1" s="5" t="s">
        <v>9</v>
      </c>
      <c r="K1" s="40" t="s">
        <v>10</v>
      </c>
      <c r="L1" s="40" t="s">
        <v>11</v>
      </c>
      <c r="M1" s="5" t="s">
        <v>12</v>
      </c>
      <c r="N1" s="7" t="s">
        <v>13</v>
      </c>
    </row>
    <row r="2" spans="1:14" x14ac:dyDescent="0.3">
      <c r="A2" s="29">
        <v>45992</v>
      </c>
      <c r="B2" s="8">
        <f>YEAR(A2)</f>
        <v>2025</v>
      </c>
      <c r="C2" s="27" t="str">
        <f>TEXT(A2,"MMMM")</f>
        <v>dezembro</v>
      </c>
      <c r="D2" s="30" t="s">
        <v>16</v>
      </c>
      <c r="E2" s="30" t="s">
        <v>34</v>
      </c>
      <c r="F2" s="31">
        <v>3.6886574074074072E-2</v>
      </c>
      <c r="G2" s="31">
        <v>0.3346527777777778</v>
      </c>
      <c r="H2" s="31">
        <v>0.63378472222222226</v>
      </c>
      <c r="I2" s="43">
        <f>H2-G2</f>
        <v>0.29913194444444446</v>
      </c>
      <c r="J2" s="43">
        <v>0.3</v>
      </c>
      <c r="K2" s="41"/>
      <c r="L2" s="3">
        <f>J2-I2</f>
        <v>8.6805555555552472E-4</v>
      </c>
      <c r="M2" s="4">
        <f>F2/I2</f>
        <v>0.12331205262139677</v>
      </c>
      <c r="N2" s="4">
        <f>I2/J2</f>
        <v>0.99710648148148162</v>
      </c>
    </row>
    <row r="3" spans="1:14" x14ac:dyDescent="0.3">
      <c r="A3" s="29">
        <v>45992</v>
      </c>
      <c r="B3" s="8">
        <f>YEAR(A3)</f>
        <v>2025</v>
      </c>
      <c r="C3" s="27" t="str">
        <f>TEXT(A3,"MMMM")</f>
        <v>dezembro</v>
      </c>
      <c r="D3" s="30" t="s">
        <v>47</v>
      </c>
      <c r="E3" s="30" t="s">
        <v>17</v>
      </c>
      <c r="F3" s="31">
        <v>4.2511574074074077E-2</v>
      </c>
      <c r="G3" s="31">
        <v>0.50716435185185182</v>
      </c>
      <c r="H3" s="31">
        <v>0.7505208333333333</v>
      </c>
      <c r="I3" s="43">
        <f>H3-G3</f>
        <v>0.24335648148148148</v>
      </c>
      <c r="J3" s="43">
        <v>0.25</v>
      </c>
      <c r="K3" s="2"/>
      <c r="L3" s="3">
        <f>J3-I3</f>
        <v>6.6435185185185208E-3</v>
      </c>
      <c r="M3" s="4">
        <f>F3/I3</f>
        <v>0.17468848092837441</v>
      </c>
      <c r="N3" s="4">
        <f>I3/J3</f>
        <v>0.97342592592592592</v>
      </c>
    </row>
    <row r="4" spans="1:14" x14ac:dyDescent="0.3">
      <c r="A4" s="29">
        <v>45992</v>
      </c>
      <c r="B4" s="8">
        <f>YEAR(A4)</f>
        <v>2025</v>
      </c>
      <c r="C4" s="27" t="str">
        <f>TEXT(A4,"MMMM")</f>
        <v>dezembro</v>
      </c>
      <c r="D4" s="30" t="s">
        <v>18</v>
      </c>
      <c r="E4" s="30" t="s">
        <v>14</v>
      </c>
      <c r="F4" s="31">
        <v>0</v>
      </c>
      <c r="G4" s="31">
        <v>0.43913194444444442</v>
      </c>
      <c r="H4" s="31">
        <v>0.70295138888888886</v>
      </c>
      <c r="I4" s="43">
        <f>H4-G4</f>
        <v>0.26381944444444444</v>
      </c>
      <c r="J4" s="43">
        <v>0.3</v>
      </c>
      <c r="K4" s="2"/>
      <c r="L4" s="3">
        <f>J4-I4</f>
        <v>3.6180555555555549E-2</v>
      </c>
      <c r="M4" s="4">
        <f>F4/I4</f>
        <v>0</v>
      </c>
      <c r="N4" s="4">
        <f>I4/J4</f>
        <v>0.87939814814814821</v>
      </c>
    </row>
    <row r="5" spans="1:14" x14ac:dyDescent="0.3">
      <c r="A5" s="29">
        <v>45992</v>
      </c>
      <c r="B5" s="8">
        <f>YEAR(A5)</f>
        <v>2025</v>
      </c>
      <c r="C5" s="27" t="str">
        <f>TEXT(A5,"MMMM")</f>
        <v>dezembro</v>
      </c>
      <c r="D5" s="30" t="s">
        <v>19</v>
      </c>
      <c r="E5" s="30" t="s">
        <v>17</v>
      </c>
      <c r="F5" s="31">
        <v>4.8402777777777781E-2</v>
      </c>
      <c r="G5" s="31">
        <v>0.33716435185185184</v>
      </c>
      <c r="H5" s="31">
        <v>0.63447916666666671</v>
      </c>
      <c r="I5" s="43">
        <f>H5-G5</f>
        <v>0.29731481481481487</v>
      </c>
      <c r="J5" s="43">
        <v>0.3</v>
      </c>
      <c r="K5" s="2"/>
      <c r="L5" s="3">
        <f>J5-I5</f>
        <v>2.6851851851851238E-3</v>
      </c>
      <c r="M5" s="4">
        <f>F5/I5</f>
        <v>0.162799750856431</v>
      </c>
      <c r="N5" s="4">
        <f>I5/J5</f>
        <v>0.99104938271604959</v>
      </c>
    </row>
    <row r="6" spans="1:14" x14ac:dyDescent="0.3">
      <c r="A6" s="29">
        <v>45992</v>
      </c>
      <c r="B6" s="8">
        <f>YEAR(A6)</f>
        <v>2025</v>
      </c>
      <c r="C6" s="27" t="str">
        <f>TEXT(A6,"MMMM")</f>
        <v>dezembro</v>
      </c>
      <c r="D6" s="30" t="s">
        <v>20</v>
      </c>
      <c r="E6" s="30" t="s">
        <v>21</v>
      </c>
      <c r="F6" s="31">
        <v>4.4467592592592593E-2</v>
      </c>
      <c r="G6" s="31">
        <v>0.3354861111111111</v>
      </c>
      <c r="H6" s="31">
        <v>0.6334143518518518</v>
      </c>
      <c r="I6" s="43">
        <f>H6-G6</f>
        <v>0.2979282407407407</v>
      </c>
      <c r="J6" s="43">
        <v>0.3</v>
      </c>
      <c r="K6" s="2"/>
      <c r="L6" s="3">
        <f>J6-I6</f>
        <v>2.0717592592592871E-3</v>
      </c>
      <c r="M6" s="4">
        <f>F6/I6</f>
        <v>0.1492560506584826</v>
      </c>
      <c r="N6" s="4">
        <f>I6/J6</f>
        <v>0.99309413580246908</v>
      </c>
    </row>
    <row r="7" spans="1:14" x14ac:dyDescent="0.3">
      <c r="A7" s="29">
        <v>45992</v>
      </c>
      <c r="B7" s="8">
        <f>YEAR(A7)</f>
        <v>2025</v>
      </c>
      <c r="C7" s="27" t="str">
        <f>TEXT(A7,"MMMM")</f>
        <v>dezembro</v>
      </c>
      <c r="D7" s="30" t="s">
        <v>69</v>
      </c>
      <c r="E7" s="30" t="s">
        <v>17</v>
      </c>
      <c r="F7" s="31">
        <v>4.0798611111111112E-2</v>
      </c>
      <c r="G7" s="31">
        <v>0.33526620370370369</v>
      </c>
      <c r="H7" s="31">
        <v>0.6340972222222222</v>
      </c>
      <c r="I7" s="43">
        <f>H7-G7</f>
        <v>0.29883101851851851</v>
      </c>
      <c r="J7" s="43">
        <v>0.3</v>
      </c>
      <c r="K7" s="2"/>
      <c r="L7" s="3">
        <f>J7-I7</f>
        <v>1.1689814814814792E-3</v>
      </c>
      <c r="M7" s="4">
        <f>F7/I7</f>
        <v>0.13652736356946435</v>
      </c>
      <c r="N7" s="4">
        <f>I7/J7</f>
        <v>0.9961033950617284</v>
      </c>
    </row>
    <row r="8" spans="1:14" x14ac:dyDescent="0.3">
      <c r="A8" s="29">
        <v>45992</v>
      </c>
      <c r="B8" s="8">
        <f>YEAR(A8)</f>
        <v>2025</v>
      </c>
      <c r="C8" s="27" t="str">
        <f>TEXT(A8,"MMMM")</f>
        <v>dezembro</v>
      </c>
      <c r="D8" s="30" t="s">
        <v>22</v>
      </c>
      <c r="E8" s="30" t="s">
        <v>21</v>
      </c>
      <c r="F8" s="31">
        <v>4.1516203703703701E-2</v>
      </c>
      <c r="G8" s="31">
        <v>0.4521296296296296</v>
      </c>
      <c r="H8" s="31">
        <v>0.75211805555555555</v>
      </c>
      <c r="I8" s="43">
        <f>H8-G8</f>
        <v>0.29998842592592595</v>
      </c>
      <c r="J8" s="43">
        <v>0.3</v>
      </c>
      <c r="K8" s="2"/>
      <c r="L8" s="3">
        <f>J8-I8</f>
        <v>1.1574074074038876E-5</v>
      </c>
      <c r="M8" s="4">
        <f>F8/I8</f>
        <v>0.13839268490296691</v>
      </c>
      <c r="N8" s="4">
        <f>I8/J8</f>
        <v>0.9999614197530865</v>
      </c>
    </row>
    <row r="9" spans="1:14" x14ac:dyDescent="0.3">
      <c r="A9" s="29">
        <v>45992</v>
      </c>
      <c r="B9" s="8">
        <f>YEAR(A9)</f>
        <v>2025</v>
      </c>
      <c r="C9" s="27" t="str">
        <f>TEXT(A9,"MMMM")</f>
        <v>dezembro</v>
      </c>
      <c r="D9" s="30" t="s">
        <v>33</v>
      </c>
      <c r="E9" s="30" t="s">
        <v>34</v>
      </c>
      <c r="F9" s="31">
        <v>3.3055555555555553E-2</v>
      </c>
      <c r="G9" s="31">
        <v>0.33372685185185186</v>
      </c>
      <c r="H9" s="31">
        <v>0.63376157407407407</v>
      </c>
      <c r="I9" s="43">
        <f>H9-G9</f>
        <v>0.30003472222222222</v>
      </c>
      <c r="J9" s="43">
        <v>0.3</v>
      </c>
      <c r="K9" s="2">
        <f>I9-J9</f>
        <v>3.472222222222765E-5</v>
      </c>
      <c r="L9" s="3"/>
      <c r="M9" s="4">
        <f>F9/I9</f>
        <v>0.1101724337460942</v>
      </c>
      <c r="N9" s="4">
        <f>I9/J9</f>
        <v>1.0001157407407408</v>
      </c>
    </row>
    <row r="10" spans="1:14" x14ac:dyDescent="0.3">
      <c r="A10" s="29">
        <v>45992</v>
      </c>
      <c r="B10" s="8">
        <f>YEAR(A10)</f>
        <v>2025</v>
      </c>
      <c r="C10" s="27" t="str">
        <f>TEXT(A10,"MMMM")</f>
        <v>dezembro</v>
      </c>
      <c r="D10" s="30" t="s">
        <v>23</v>
      </c>
      <c r="E10" s="30" t="s">
        <v>17</v>
      </c>
      <c r="F10" s="31">
        <v>4.0208333333333332E-2</v>
      </c>
      <c r="G10" s="31">
        <v>0.45793981481481483</v>
      </c>
      <c r="H10" s="31">
        <v>0.75035879629629632</v>
      </c>
      <c r="I10" s="43">
        <f>H10-G10</f>
        <v>0.29241898148148149</v>
      </c>
      <c r="J10" s="43">
        <v>0.3</v>
      </c>
      <c r="K10" s="2"/>
      <c r="L10" s="3">
        <f>J10-I10</f>
        <v>7.5810185185185008E-3</v>
      </c>
      <c r="M10" s="4">
        <f>F10/I10</f>
        <v>0.13750247377795369</v>
      </c>
      <c r="N10" s="4">
        <f>I10/J10</f>
        <v>0.97472993827160503</v>
      </c>
    </row>
    <row r="11" spans="1:14" x14ac:dyDescent="0.3">
      <c r="A11" s="29">
        <v>45992</v>
      </c>
      <c r="B11" s="8">
        <f>YEAR(A11)</f>
        <v>2025</v>
      </c>
      <c r="C11" s="27" t="str">
        <f>TEXT(A11,"MMMM")</f>
        <v>dezembro</v>
      </c>
      <c r="D11" s="30" t="s">
        <v>31</v>
      </c>
      <c r="E11" s="30" t="s">
        <v>21</v>
      </c>
      <c r="F11" s="31">
        <v>4.4641203703703704E-2</v>
      </c>
      <c r="G11" s="31">
        <v>0.45840277777777777</v>
      </c>
      <c r="H11" s="31">
        <v>0.75008101851851849</v>
      </c>
      <c r="I11" s="43">
        <f>H11-G11</f>
        <v>0.29167824074074072</v>
      </c>
      <c r="J11" s="43">
        <v>0.3</v>
      </c>
      <c r="K11" s="2"/>
      <c r="L11" s="3">
        <f>J11-I11</f>
        <v>8.3217592592592649E-3</v>
      </c>
      <c r="M11" s="4">
        <f>F11/I11</f>
        <v>0.15304948216340622</v>
      </c>
      <c r="N11" s="4">
        <f>I11/J11</f>
        <v>0.97226080246913582</v>
      </c>
    </row>
    <row r="12" spans="1:14" x14ac:dyDescent="0.3">
      <c r="A12" s="29">
        <v>45992</v>
      </c>
      <c r="B12" s="8">
        <f>YEAR(A12)</f>
        <v>2025</v>
      </c>
      <c r="C12" s="27" t="str">
        <f>TEXT(A12,"MMMM")</f>
        <v>dezembro</v>
      </c>
      <c r="D12" s="30" t="s">
        <v>25</v>
      </c>
      <c r="E12" s="30" t="s">
        <v>21</v>
      </c>
      <c r="F12" s="31">
        <v>3.6238425925925924E-2</v>
      </c>
      <c r="G12" s="31">
        <v>0.3634722222222222</v>
      </c>
      <c r="H12" s="31">
        <v>0.65449074074074076</v>
      </c>
      <c r="I12" s="43">
        <f>H12-G12</f>
        <v>0.29101851851851857</v>
      </c>
      <c r="J12" s="43">
        <v>0.3</v>
      </c>
      <c r="K12" s="2"/>
      <c r="L12" s="3">
        <f>J12-I12</f>
        <v>8.9814814814814237E-3</v>
      </c>
      <c r="M12" s="4">
        <f>F12/I12</f>
        <v>0.12452274896595607</v>
      </c>
      <c r="N12" s="4">
        <f>I12/J12</f>
        <v>0.97006172839506188</v>
      </c>
    </row>
    <row r="13" spans="1:14" x14ac:dyDescent="0.3">
      <c r="A13" s="29">
        <v>45992</v>
      </c>
      <c r="B13" s="8">
        <f>YEAR(A13)</f>
        <v>2025</v>
      </c>
      <c r="C13" s="27" t="str">
        <f>TEXT(A13,"MMMM")</f>
        <v>dezembro</v>
      </c>
      <c r="D13" s="30" t="s">
        <v>26</v>
      </c>
      <c r="E13" s="30" t="s">
        <v>15</v>
      </c>
      <c r="F13" s="31">
        <v>4.2314814814814812E-2</v>
      </c>
      <c r="G13" s="31">
        <v>0.33362268518518517</v>
      </c>
      <c r="H13" s="31">
        <v>0.6779398148148148</v>
      </c>
      <c r="I13" s="43">
        <f>H13-G13</f>
        <v>0.34431712962962963</v>
      </c>
      <c r="J13" s="43">
        <v>0.3</v>
      </c>
      <c r="K13" s="2">
        <f>I13-J13</f>
        <v>4.4317129629629637E-2</v>
      </c>
      <c r="L13" s="3"/>
      <c r="M13" s="4">
        <f>F13/I13</f>
        <v>0.12289488722309994</v>
      </c>
      <c r="N13" s="4">
        <f>I13/J13</f>
        <v>1.1477237654320989</v>
      </c>
    </row>
    <row r="14" spans="1:14" x14ac:dyDescent="0.3">
      <c r="A14" s="29">
        <v>45992</v>
      </c>
      <c r="B14" s="8">
        <f>YEAR(A14)</f>
        <v>2025</v>
      </c>
      <c r="C14" s="27" t="str">
        <f>TEXT(A14,"MMMM")</f>
        <v>dezembro</v>
      </c>
      <c r="D14" s="30" t="s">
        <v>65</v>
      </c>
      <c r="E14" s="30" t="s">
        <v>14</v>
      </c>
      <c r="F14" s="31">
        <v>4.9652777777777775E-2</v>
      </c>
      <c r="G14" s="31">
        <v>0.33697916666666666</v>
      </c>
      <c r="H14" s="31">
        <v>0.63400462962962967</v>
      </c>
      <c r="I14" s="43">
        <f>H14-G14</f>
        <v>0.297025462962963</v>
      </c>
      <c r="J14" s="43">
        <v>0.3</v>
      </c>
      <c r="K14" s="2"/>
      <c r="L14" s="3">
        <f>J14-I14</f>
        <v>2.9745370370369839E-3</v>
      </c>
      <c r="M14" s="4">
        <f>F14/I14</f>
        <v>0.16716673810544361</v>
      </c>
      <c r="N14" s="4">
        <f>I14/J14</f>
        <v>0.99008487654321009</v>
      </c>
    </row>
    <row r="15" spans="1:14" x14ac:dyDescent="0.3">
      <c r="A15" s="29">
        <v>45992</v>
      </c>
      <c r="B15" s="8">
        <f>YEAR(A15)</f>
        <v>2025</v>
      </c>
      <c r="C15" s="27" t="str">
        <f>TEXT(A15,"MMMM")</f>
        <v>dezembro</v>
      </c>
      <c r="D15" s="30" t="s">
        <v>27</v>
      </c>
      <c r="E15" s="30" t="s">
        <v>17</v>
      </c>
      <c r="F15" s="31">
        <v>4.1412037037037039E-2</v>
      </c>
      <c r="G15" s="31">
        <v>0.3336574074074074</v>
      </c>
      <c r="H15" s="31">
        <v>0.63447916666666671</v>
      </c>
      <c r="I15" s="43">
        <f>H15-G15</f>
        <v>0.3008217592592593</v>
      </c>
      <c r="J15" s="43">
        <v>0.3</v>
      </c>
      <c r="K15" s="2">
        <f>I15-J15</f>
        <v>8.217592592593137E-4</v>
      </c>
      <c r="L15" s="3"/>
      <c r="M15" s="4">
        <f>F15/I15</f>
        <v>0.13766303720518638</v>
      </c>
      <c r="N15" s="4">
        <f>I15/J15</f>
        <v>1.0027391975308644</v>
      </c>
    </row>
    <row r="16" spans="1:14" x14ac:dyDescent="0.3">
      <c r="A16" s="29">
        <v>45992</v>
      </c>
      <c r="B16" s="8">
        <f>YEAR(A16)</f>
        <v>2025</v>
      </c>
      <c r="C16" s="27" t="str">
        <f>TEXT(A16,"MMMM")</f>
        <v>dezembro</v>
      </c>
      <c r="D16" s="30" t="s">
        <v>68</v>
      </c>
      <c r="E16" s="30" t="s">
        <v>34</v>
      </c>
      <c r="F16" s="31">
        <v>4.2453703703703702E-2</v>
      </c>
      <c r="G16" s="31">
        <v>0.45180555555555557</v>
      </c>
      <c r="H16" s="31">
        <v>0.75049768518518523</v>
      </c>
      <c r="I16" s="43">
        <f>H16-G16</f>
        <v>0.29869212962962965</v>
      </c>
      <c r="J16" s="43">
        <v>0.3</v>
      </c>
      <c r="K16" s="2"/>
      <c r="L16" s="3">
        <f>J16-I16</f>
        <v>1.3078703703703343E-3</v>
      </c>
      <c r="M16" s="4">
        <f>F16/I16</f>
        <v>0.14213197969543145</v>
      </c>
      <c r="N16" s="4">
        <f>I16/J16</f>
        <v>0.99564043209876552</v>
      </c>
    </row>
    <row r="17" spans="1:14" x14ac:dyDescent="0.3">
      <c r="A17" s="29">
        <v>45992</v>
      </c>
      <c r="B17" s="8">
        <f>YEAR(A17)</f>
        <v>2025</v>
      </c>
      <c r="C17" s="27" t="str">
        <f>TEXT(A17,"MMMM")</f>
        <v>dezembro</v>
      </c>
      <c r="D17" s="30" t="s">
        <v>32</v>
      </c>
      <c r="E17" s="30" t="s">
        <v>34</v>
      </c>
      <c r="F17" s="31">
        <v>4.2442129629629628E-2</v>
      </c>
      <c r="G17" s="31">
        <v>0.45671296296296299</v>
      </c>
      <c r="H17" s="31">
        <v>0.75019675925925922</v>
      </c>
      <c r="I17" s="43">
        <f>H17-G17</f>
        <v>0.29348379629629623</v>
      </c>
      <c r="J17" s="43">
        <v>0.3</v>
      </c>
      <c r="K17" s="2"/>
      <c r="L17" s="3">
        <f>J17-I17</f>
        <v>6.5162037037037601E-3</v>
      </c>
      <c r="M17" s="4">
        <f>F17/I17</f>
        <v>0.14461489923886897</v>
      </c>
      <c r="N17" s="4">
        <f>I17/J17</f>
        <v>0.97827932098765413</v>
      </c>
    </row>
    <row r="18" spans="1:14" x14ac:dyDescent="0.3">
      <c r="A18" s="29">
        <v>45992</v>
      </c>
      <c r="B18" s="8">
        <f>YEAR(A18)</f>
        <v>2025</v>
      </c>
      <c r="C18" s="27" t="str">
        <f>TEXT(A18,"MMMM")</f>
        <v>dezembro</v>
      </c>
      <c r="D18" s="30" t="s">
        <v>30</v>
      </c>
      <c r="E18" s="30" t="s">
        <v>34</v>
      </c>
      <c r="F18" s="31">
        <v>4.4363425925925924E-2</v>
      </c>
      <c r="G18" s="31">
        <v>0.33373842592592595</v>
      </c>
      <c r="H18" s="31">
        <v>0.66685185185185181</v>
      </c>
      <c r="I18" s="43">
        <f>H18-G18</f>
        <v>0.33311342592592585</v>
      </c>
      <c r="J18" s="43">
        <v>0.3</v>
      </c>
      <c r="K18" s="2">
        <f>I18-J18</f>
        <v>3.3113425925925866E-2</v>
      </c>
      <c r="L18" s="3"/>
      <c r="M18" s="4">
        <f>F18/I18</f>
        <v>0.1331781383551649</v>
      </c>
      <c r="N18" s="4">
        <f>I18/J18</f>
        <v>1.110378086419753</v>
      </c>
    </row>
    <row r="19" spans="1:14" x14ac:dyDescent="0.3">
      <c r="A19" s="29">
        <v>45992</v>
      </c>
      <c r="B19" s="8">
        <f>YEAR(A19)</f>
        <v>2025</v>
      </c>
      <c r="C19" s="27" t="str">
        <f>TEXT(A19,"MMMM")</f>
        <v>dezembro</v>
      </c>
      <c r="D19" s="30" t="s">
        <v>28</v>
      </c>
      <c r="E19" s="30" t="s">
        <v>14</v>
      </c>
      <c r="F19" s="31">
        <v>0</v>
      </c>
      <c r="G19" s="31">
        <v>0.3527777777777778</v>
      </c>
      <c r="H19" s="31">
        <v>0.69931712962962966</v>
      </c>
      <c r="I19" s="43">
        <f>H19-G19</f>
        <v>0.34653935185185186</v>
      </c>
      <c r="J19" s="43">
        <v>0.3</v>
      </c>
      <c r="K19" s="2">
        <f>I19-J19</f>
        <v>4.6539351851851873E-2</v>
      </c>
      <c r="L19" s="3"/>
      <c r="M19" s="4">
        <f>F19/I19</f>
        <v>0</v>
      </c>
      <c r="N19" s="4">
        <f>I19/J19</f>
        <v>1.1551311728395062</v>
      </c>
    </row>
    <row r="20" spans="1:14" x14ac:dyDescent="0.3">
      <c r="A20" s="29">
        <v>45992</v>
      </c>
      <c r="B20" s="8">
        <f>YEAR(A20)</f>
        <v>2025</v>
      </c>
      <c r="C20" s="27" t="str">
        <f>TEXT(A20,"MMMM")</f>
        <v>dezembro</v>
      </c>
      <c r="D20" s="30" t="s">
        <v>29</v>
      </c>
      <c r="E20" s="30" t="s">
        <v>14</v>
      </c>
      <c r="F20" s="31">
        <v>0</v>
      </c>
      <c r="G20" s="31">
        <v>0.35517361111111112</v>
      </c>
      <c r="H20" s="31">
        <v>0.64525462962962965</v>
      </c>
      <c r="I20" s="43">
        <f>H20-G20</f>
        <v>0.29008101851851853</v>
      </c>
      <c r="J20" s="43">
        <v>0.3</v>
      </c>
      <c r="K20" s="2"/>
      <c r="L20" s="3">
        <f>J20-I20</f>
        <v>9.9189814814814592E-3</v>
      </c>
      <c r="M20" s="4">
        <f>F20/I20</f>
        <v>0</v>
      </c>
      <c r="N20" s="4">
        <f>I20/J20</f>
        <v>0.96693672839506184</v>
      </c>
    </row>
    <row r="21" spans="1:14" x14ac:dyDescent="0.3">
      <c r="A21" s="29">
        <v>45993</v>
      </c>
      <c r="B21" s="8">
        <f>YEAR(A21)</f>
        <v>2025</v>
      </c>
      <c r="C21" s="27" t="str">
        <f>TEXT(A21,"MMMM")</f>
        <v>dezembro</v>
      </c>
      <c r="D21" s="30" t="s">
        <v>16</v>
      </c>
      <c r="E21" s="30" t="s">
        <v>34</v>
      </c>
      <c r="F21" s="31">
        <v>3.888888888888889E-2</v>
      </c>
      <c r="G21" s="31">
        <v>0.33374999999999999</v>
      </c>
      <c r="H21" s="31">
        <v>0.63973379629629634</v>
      </c>
      <c r="I21" s="43">
        <f>H21-G21</f>
        <v>0.30598379629629635</v>
      </c>
      <c r="J21" s="43">
        <v>0.3</v>
      </c>
      <c r="K21" s="41">
        <f>I21-J21</f>
        <v>5.983796296296362E-3</v>
      </c>
      <c r="L21" s="3"/>
      <c r="M21" s="4">
        <f>F21/I21</f>
        <v>0.1270946022619813</v>
      </c>
      <c r="N21" s="4">
        <f>I21/J21</f>
        <v>1.0199459876543213</v>
      </c>
    </row>
    <row r="22" spans="1:14" x14ac:dyDescent="0.3">
      <c r="A22" s="29">
        <v>45993</v>
      </c>
      <c r="B22" s="8">
        <f>YEAR(A22)</f>
        <v>2025</v>
      </c>
      <c r="C22" s="27" t="str">
        <f>TEXT(A22,"MMMM")</f>
        <v>dezembro</v>
      </c>
      <c r="D22" s="30" t="s">
        <v>47</v>
      </c>
      <c r="E22" s="30" t="s">
        <v>17</v>
      </c>
      <c r="F22" s="31">
        <v>3.7326388888888888E-2</v>
      </c>
      <c r="G22" s="31">
        <v>0.52241898148148147</v>
      </c>
      <c r="H22" s="31">
        <v>0.7503009259259259</v>
      </c>
      <c r="I22" s="43">
        <f>H22-G22</f>
        <v>0.22788194444444443</v>
      </c>
      <c r="J22" s="43">
        <v>0.25</v>
      </c>
      <c r="K22" s="2"/>
      <c r="L22" s="3">
        <f>J22-I22</f>
        <v>2.2118055555555571E-2</v>
      </c>
      <c r="M22" s="4">
        <f>F22/I22</f>
        <v>0.16379704403474021</v>
      </c>
      <c r="N22" s="4">
        <f>I22/J22</f>
        <v>0.91152777777777771</v>
      </c>
    </row>
    <row r="23" spans="1:14" x14ac:dyDescent="0.3">
      <c r="A23" s="29">
        <v>45993</v>
      </c>
      <c r="B23" s="8">
        <f>YEAR(A23)</f>
        <v>2025</v>
      </c>
      <c r="C23" s="27" t="str">
        <f>TEXT(A23,"MMMM")</f>
        <v>dezembro</v>
      </c>
      <c r="D23" s="30" t="s">
        <v>18</v>
      </c>
      <c r="E23" s="30" t="s">
        <v>14</v>
      </c>
      <c r="F23" s="31">
        <v>0</v>
      </c>
      <c r="G23" s="31">
        <v>0.33883101851851855</v>
      </c>
      <c r="H23" s="31">
        <v>0.66515046296296299</v>
      </c>
      <c r="I23" s="43">
        <f>H23-G23</f>
        <v>0.32631944444444444</v>
      </c>
      <c r="J23" s="43">
        <v>0.3</v>
      </c>
      <c r="K23" s="2">
        <f>I23-J23</f>
        <v>2.6319444444444451E-2</v>
      </c>
      <c r="L23" s="3"/>
      <c r="M23" s="4">
        <f>F23/I23</f>
        <v>0</v>
      </c>
      <c r="N23" s="4">
        <f>I23/J23</f>
        <v>1.0877314814814816</v>
      </c>
    </row>
    <row r="24" spans="1:14" x14ac:dyDescent="0.3">
      <c r="A24" s="29">
        <v>45993</v>
      </c>
      <c r="B24" s="8">
        <f>YEAR(A24)</f>
        <v>2025</v>
      </c>
      <c r="C24" s="27" t="str">
        <f>TEXT(A24,"MMMM")</f>
        <v>dezembro</v>
      </c>
      <c r="D24" s="30" t="s">
        <v>19</v>
      </c>
      <c r="E24" s="30" t="s">
        <v>17</v>
      </c>
      <c r="F24" s="31">
        <v>4.266203703703704E-2</v>
      </c>
      <c r="G24" s="31">
        <v>0.34114583333333331</v>
      </c>
      <c r="H24" s="31">
        <v>0.63467592592592592</v>
      </c>
      <c r="I24" s="43">
        <f>H24-G24</f>
        <v>0.29353009259259261</v>
      </c>
      <c r="J24" s="43">
        <v>0.3</v>
      </c>
      <c r="K24" s="2"/>
      <c r="L24" s="3">
        <f>J24-I24</f>
        <v>6.4699074074073826E-3</v>
      </c>
      <c r="M24" s="4">
        <f>F24/I24</f>
        <v>0.14534127203185995</v>
      </c>
      <c r="N24" s="4">
        <f>I24/J24</f>
        <v>0.97843364197530869</v>
      </c>
    </row>
    <row r="25" spans="1:14" x14ac:dyDescent="0.3">
      <c r="A25" s="29">
        <v>45993</v>
      </c>
      <c r="B25" s="8">
        <f>YEAR(A25)</f>
        <v>2025</v>
      </c>
      <c r="C25" s="27" t="str">
        <f>TEXT(A25,"MMMM")</f>
        <v>dezembro</v>
      </c>
      <c r="D25" s="30" t="s">
        <v>69</v>
      </c>
      <c r="E25" s="30" t="s">
        <v>17</v>
      </c>
      <c r="F25" s="31">
        <v>3.574074074074074E-2</v>
      </c>
      <c r="G25" s="31">
        <v>0.33603009259259259</v>
      </c>
      <c r="H25" s="31">
        <v>0.6360069444444445</v>
      </c>
      <c r="I25" s="43">
        <f>H25-G25</f>
        <v>0.29997685185185191</v>
      </c>
      <c r="J25" s="43">
        <v>0.3</v>
      </c>
      <c r="K25" s="2"/>
      <c r="L25" s="3">
        <f>J25-I25</f>
        <v>2.3148148148077752E-5</v>
      </c>
      <c r="M25" s="4">
        <f>F25/I25</f>
        <v>0.11914499575584533</v>
      </c>
      <c r="N25" s="4">
        <f>I25/J25</f>
        <v>0.99992283950617311</v>
      </c>
    </row>
    <row r="26" spans="1:14" x14ac:dyDescent="0.3">
      <c r="A26" s="29">
        <v>45993</v>
      </c>
      <c r="B26" s="8">
        <f>YEAR(A26)</f>
        <v>2025</v>
      </c>
      <c r="C26" s="27" t="str">
        <f>TEXT(A26,"MMMM")</f>
        <v>dezembro</v>
      </c>
      <c r="D26" s="30" t="s">
        <v>22</v>
      </c>
      <c r="E26" s="30" t="s">
        <v>21</v>
      </c>
      <c r="F26" s="31">
        <v>3.4456018518518518E-2</v>
      </c>
      <c r="G26" s="31">
        <v>0.42146990740740742</v>
      </c>
      <c r="H26" s="31">
        <v>0.75064814814814818</v>
      </c>
      <c r="I26" s="43">
        <f>H26-G26</f>
        <v>0.32917824074074076</v>
      </c>
      <c r="J26" s="43">
        <v>0.3</v>
      </c>
      <c r="K26" s="2">
        <f>I26-J26</f>
        <v>2.9178240740740768E-2</v>
      </c>
      <c r="L26" s="3"/>
      <c r="M26" s="4">
        <f>F26/I26</f>
        <v>0.1046728314756865</v>
      </c>
      <c r="N26" s="4">
        <f>I26/J26</f>
        <v>1.0972608024691359</v>
      </c>
    </row>
    <row r="27" spans="1:14" x14ac:dyDescent="0.3">
      <c r="A27" s="29">
        <v>45993</v>
      </c>
      <c r="B27" s="8">
        <f>YEAR(A27)</f>
        <v>2025</v>
      </c>
      <c r="C27" s="27" t="str">
        <f>TEXT(A27,"MMMM")</f>
        <v>dezembro</v>
      </c>
      <c r="D27" s="30" t="s">
        <v>33</v>
      </c>
      <c r="E27" s="30" t="s">
        <v>34</v>
      </c>
      <c r="F27" s="31">
        <v>3.5416666666666666E-2</v>
      </c>
      <c r="G27" s="31">
        <v>0.33372685185185186</v>
      </c>
      <c r="H27" s="31">
        <v>0.63402777777777775</v>
      </c>
      <c r="I27" s="43">
        <f>H27-G27</f>
        <v>0.30030092592592589</v>
      </c>
      <c r="J27" s="43">
        <v>0.3</v>
      </c>
      <c r="K27" s="2">
        <f>I27-J27</f>
        <v>3.0092592592589895E-4</v>
      </c>
      <c r="L27" s="3"/>
      <c r="M27" s="4">
        <f>F27/I27</f>
        <v>0.1179372542973869</v>
      </c>
      <c r="N27" s="4">
        <f>I27/J27</f>
        <v>1.001003086419753</v>
      </c>
    </row>
    <row r="28" spans="1:14" x14ac:dyDescent="0.3">
      <c r="A28" s="29">
        <v>45993</v>
      </c>
      <c r="B28" s="8">
        <f>YEAR(A28)</f>
        <v>2025</v>
      </c>
      <c r="C28" s="27" t="str">
        <f>TEXT(A28,"MMMM")</f>
        <v>dezembro</v>
      </c>
      <c r="D28" s="30" t="s">
        <v>23</v>
      </c>
      <c r="E28" s="30" t="s">
        <v>17</v>
      </c>
      <c r="F28" s="31">
        <v>4.8877314814814818E-2</v>
      </c>
      <c r="G28" s="31">
        <v>0.44438657407407406</v>
      </c>
      <c r="H28" s="31">
        <v>0.75026620370370367</v>
      </c>
      <c r="I28" s="43">
        <f>H28-G28</f>
        <v>0.30587962962962961</v>
      </c>
      <c r="J28" s="43">
        <v>0.3</v>
      </c>
      <c r="K28" s="2">
        <f>I28-J28</f>
        <v>5.8796296296296235E-3</v>
      </c>
      <c r="L28" s="3"/>
      <c r="M28" s="4">
        <f>F28/I28</f>
        <v>0.15979264416527927</v>
      </c>
      <c r="N28" s="4">
        <f>I28/J28</f>
        <v>1.0195987654320988</v>
      </c>
    </row>
    <row r="29" spans="1:14" x14ac:dyDescent="0.3">
      <c r="A29" s="29">
        <v>45993</v>
      </c>
      <c r="B29" s="8">
        <f>YEAR(A29)</f>
        <v>2025</v>
      </c>
      <c r="C29" s="27" t="str">
        <f>TEXT(A29,"MMMM")</f>
        <v>dezembro</v>
      </c>
      <c r="D29" s="30" t="s">
        <v>31</v>
      </c>
      <c r="E29" s="30" t="s">
        <v>21</v>
      </c>
      <c r="F29" s="31">
        <v>4.2766203703703702E-2</v>
      </c>
      <c r="G29" s="31">
        <v>0.45096064814814812</v>
      </c>
      <c r="H29" s="31">
        <v>0.75015046296296295</v>
      </c>
      <c r="I29" s="43">
        <f>H29-G29</f>
        <v>0.29918981481481483</v>
      </c>
      <c r="J29" s="43">
        <v>0.3</v>
      </c>
      <c r="K29" s="2"/>
      <c r="L29" s="3">
        <f>J29-I29</f>
        <v>8.101851851851638E-4</v>
      </c>
      <c r="M29" s="4">
        <f>F29/I29</f>
        <v>0.14294003868471952</v>
      </c>
      <c r="N29" s="4">
        <f>I29/J29</f>
        <v>0.99729938271604945</v>
      </c>
    </row>
    <row r="30" spans="1:14" x14ac:dyDescent="0.3">
      <c r="A30" s="29">
        <v>45993</v>
      </c>
      <c r="B30" s="8">
        <f>YEAR(A30)</f>
        <v>2025</v>
      </c>
      <c r="C30" s="27" t="str">
        <f>TEXT(A30,"MMMM")</f>
        <v>dezembro</v>
      </c>
      <c r="D30" s="30" t="s">
        <v>25</v>
      </c>
      <c r="E30" s="30" t="s">
        <v>21</v>
      </c>
      <c r="F30" s="31">
        <v>4.3912037037037034E-2</v>
      </c>
      <c r="G30" s="31">
        <v>0.33333333333333331</v>
      </c>
      <c r="H30" s="31">
        <v>0.6334953703703704</v>
      </c>
      <c r="I30" s="43">
        <f>H30-G30</f>
        <v>0.30016203703703709</v>
      </c>
      <c r="J30" s="43">
        <v>0.3</v>
      </c>
      <c r="K30" s="2">
        <f>I30-J30</f>
        <v>1.6203703703709937E-4</v>
      </c>
      <c r="L30" s="3"/>
      <c r="M30" s="4">
        <f>F30/I30</f>
        <v>0.1462944397316264</v>
      </c>
      <c r="N30" s="4">
        <f>I30/J30</f>
        <v>1.0005401234567903</v>
      </c>
    </row>
    <row r="31" spans="1:14" x14ac:dyDescent="0.3">
      <c r="A31" s="29">
        <v>45993</v>
      </c>
      <c r="B31" s="8">
        <f>YEAR(A31)</f>
        <v>2025</v>
      </c>
      <c r="C31" s="27" t="str">
        <f>TEXT(A31,"MMMM")</f>
        <v>dezembro</v>
      </c>
      <c r="D31" s="30" t="s">
        <v>26</v>
      </c>
      <c r="E31" s="30" t="s">
        <v>15</v>
      </c>
      <c r="F31" s="31">
        <v>3.5011574074074077E-2</v>
      </c>
      <c r="G31" s="31">
        <v>0.33334490740740741</v>
      </c>
      <c r="H31" s="31">
        <v>0.63468749999999996</v>
      </c>
      <c r="I31" s="43">
        <f>H31-G31</f>
        <v>0.30134259259259255</v>
      </c>
      <c r="J31" s="43">
        <v>0.3</v>
      </c>
      <c r="K31" s="2">
        <f>I31-J31</f>
        <v>1.3425925925925619E-3</v>
      </c>
      <c r="L31" s="3"/>
      <c r="M31" s="4">
        <f>F31/I31</f>
        <v>0.11618528191734524</v>
      </c>
      <c r="N31" s="4">
        <f>I31/J31</f>
        <v>1.0044753086419753</v>
      </c>
    </row>
    <row r="32" spans="1:14" x14ac:dyDescent="0.3">
      <c r="A32" s="29">
        <v>45993</v>
      </c>
      <c r="B32" s="8">
        <f>YEAR(A32)</f>
        <v>2025</v>
      </c>
      <c r="C32" s="27" t="str">
        <f>TEXT(A32,"MMMM")</f>
        <v>dezembro</v>
      </c>
      <c r="D32" s="30" t="s">
        <v>65</v>
      </c>
      <c r="E32" s="30" t="s">
        <v>14</v>
      </c>
      <c r="F32" s="31">
        <v>4.2430555555555555E-2</v>
      </c>
      <c r="G32" s="31">
        <v>0.3336574074074074</v>
      </c>
      <c r="H32" s="31">
        <v>0.63366898148148143</v>
      </c>
      <c r="I32" s="43">
        <f>H32-G32</f>
        <v>0.30001157407407403</v>
      </c>
      <c r="J32" s="43">
        <v>0.3</v>
      </c>
      <c r="K32" s="2">
        <f>I32-J32</f>
        <v>1.1574074074038876E-5</v>
      </c>
      <c r="L32" s="3"/>
      <c r="M32" s="4">
        <f>F32/I32</f>
        <v>0.14142972879132751</v>
      </c>
      <c r="N32" s="4">
        <f>I32/J32</f>
        <v>1.0000385802469134</v>
      </c>
    </row>
    <row r="33" spans="1:14" x14ac:dyDescent="0.3">
      <c r="A33" s="29">
        <v>45993</v>
      </c>
      <c r="B33" s="8">
        <f>YEAR(A33)</f>
        <v>2025</v>
      </c>
      <c r="C33" s="27" t="str">
        <f>TEXT(A33,"MMMM")</f>
        <v>dezembro</v>
      </c>
      <c r="D33" s="30" t="s">
        <v>27</v>
      </c>
      <c r="E33" s="30" t="s">
        <v>17</v>
      </c>
      <c r="F33" s="31">
        <v>3.9270833333333331E-2</v>
      </c>
      <c r="G33" s="31">
        <v>0.33364583333333331</v>
      </c>
      <c r="H33" s="31">
        <v>0.63914351851851847</v>
      </c>
      <c r="I33" s="43">
        <f>H33-G33</f>
        <v>0.30549768518518516</v>
      </c>
      <c r="J33" s="43">
        <v>0.3</v>
      </c>
      <c r="K33" s="2">
        <f>I33-J33</f>
        <v>5.4976851851851749E-3</v>
      </c>
      <c r="L33" s="3"/>
      <c r="M33" s="4">
        <f>F33/I33</f>
        <v>0.1285470733093389</v>
      </c>
      <c r="N33" s="4">
        <f>I33/J33</f>
        <v>1.0183256172839505</v>
      </c>
    </row>
    <row r="34" spans="1:14" x14ac:dyDescent="0.3">
      <c r="A34" s="29">
        <v>45993</v>
      </c>
      <c r="B34" s="8">
        <f>YEAR(A34)</f>
        <v>2025</v>
      </c>
      <c r="C34" s="27" t="str">
        <f>TEXT(A34,"MMMM")</f>
        <v>dezembro</v>
      </c>
      <c r="D34" s="30" t="s">
        <v>68</v>
      </c>
      <c r="E34" s="30" t="s">
        <v>34</v>
      </c>
      <c r="F34" s="31">
        <v>4.5196759259259256E-2</v>
      </c>
      <c r="G34" s="31">
        <v>0.52093750000000005</v>
      </c>
      <c r="H34" s="31">
        <v>0.75017361111111114</v>
      </c>
      <c r="I34" s="43">
        <f>H34-G34</f>
        <v>0.22923611111111108</v>
      </c>
      <c r="J34" s="43">
        <v>0.3</v>
      </c>
      <c r="K34" s="2"/>
      <c r="L34" s="3">
        <f>J34-I34</f>
        <v>7.0763888888888904E-2</v>
      </c>
      <c r="M34" s="4">
        <f>F34/I34</f>
        <v>0.19716247601736847</v>
      </c>
      <c r="N34" s="4">
        <f>I34/J34</f>
        <v>0.76412037037037028</v>
      </c>
    </row>
    <row r="35" spans="1:14" x14ac:dyDescent="0.3">
      <c r="A35" s="29">
        <v>45993</v>
      </c>
      <c r="B35" s="8">
        <f>YEAR(A35)</f>
        <v>2025</v>
      </c>
      <c r="C35" s="27" t="str">
        <f>TEXT(A35,"MMMM")</f>
        <v>dezembro</v>
      </c>
      <c r="D35" s="30" t="s">
        <v>32</v>
      </c>
      <c r="E35" s="30" t="s">
        <v>34</v>
      </c>
      <c r="F35" s="31">
        <v>4.5011574074074072E-2</v>
      </c>
      <c r="G35" s="31">
        <v>0.45293981481481482</v>
      </c>
      <c r="H35" s="31">
        <v>0.75017361111111114</v>
      </c>
      <c r="I35" s="43">
        <f>H35-G35</f>
        <v>0.29723379629629632</v>
      </c>
      <c r="J35" s="43">
        <v>0.3</v>
      </c>
      <c r="K35" s="2"/>
      <c r="L35" s="3">
        <f>J35-I35</f>
        <v>2.7662037037036735E-3</v>
      </c>
      <c r="M35" s="4">
        <f>F35/I35</f>
        <v>0.15143491297067868</v>
      </c>
      <c r="N35" s="4">
        <f>I35/J35</f>
        <v>0.99077932098765442</v>
      </c>
    </row>
    <row r="36" spans="1:14" x14ac:dyDescent="0.3">
      <c r="A36" s="29">
        <v>45993</v>
      </c>
      <c r="B36" s="8">
        <f>YEAR(A36)</f>
        <v>2025</v>
      </c>
      <c r="C36" s="27" t="str">
        <f>TEXT(A36,"MMMM")</f>
        <v>dezembro</v>
      </c>
      <c r="D36" s="30" t="s">
        <v>30</v>
      </c>
      <c r="E36" s="30" t="s">
        <v>34</v>
      </c>
      <c r="F36" s="31">
        <v>4.2777777777777776E-2</v>
      </c>
      <c r="G36" s="31">
        <v>0.33376157407407409</v>
      </c>
      <c r="H36" s="31">
        <v>0.63434027777777779</v>
      </c>
      <c r="I36" s="43">
        <f>H36-G36</f>
        <v>0.30057870370370371</v>
      </c>
      <c r="J36" s="43">
        <v>0.3</v>
      </c>
      <c r="K36" s="2">
        <f>I36-J36</f>
        <v>5.7870370370372015E-4</v>
      </c>
      <c r="L36" s="3"/>
      <c r="M36" s="4">
        <f>F36/I36</f>
        <v>0.14231805929919136</v>
      </c>
      <c r="N36" s="4">
        <f>I36/J36</f>
        <v>1.001929012345679</v>
      </c>
    </row>
    <row r="37" spans="1:14" x14ac:dyDescent="0.3">
      <c r="A37" s="29">
        <v>45993</v>
      </c>
      <c r="B37" s="8">
        <f>YEAR(A37)</f>
        <v>2025</v>
      </c>
      <c r="C37" s="27" t="str">
        <f>TEXT(A37,"MMMM")</f>
        <v>dezembro</v>
      </c>
      <c r="D37" s="30" t="s">
        <v>28</v>
      </c>
      <c r="E37" s="30" t="s">
        <v>14</v>
      </c>
      <c r="F37" s="31">
        <v>0</v>
      </c>
      <c r="G37" s="31">
        <v>0.36091435185185183</v>
      </c>
      <c r="H37" s="31">
        <v>0.67538194444444444</v>
      </c>
      <c r="I37" s="43">
        <f>H37-G37</f>
        <v>0.3144675925925926</v>
      </c>
      <c r="J37" s="43">
        <v>0.3</v>
      </c>
      <c r="K37" s="2">
        <f>I37-J37</f>
        <v>1.4467592592592615E-2</v>
      </c>
      <c r="L37" s="3"/>
      <c r="M37" s="4">
        <f>F37/I37</f>
        <v>0</v>
      </c>
      <c r="N37" s="4">
        <f>I37/J37</f>
        <v>1.0482253086419755</v>
      </c>
    </row>
    <row r="38" spans="1:14" x14ac:dyDescent="0.3">
      <c r="A38" s="29">
        <v>45993</v>
      </c>
      <c r="B38" s="8">
        <f>YEAR(A38)</f>
        <v>2025</v>
      </c>
      <c r="C38" s="27" t="str">
        <f>TEXT(A38,"MMMM")</f>
        <v>dezembro</v>
      </c>
      <c r="D38" s="30" t="s">
        <v>29</v>
      </c>
      <c r="E38" s="30" t="s">
        <v>14</v>
      </c>
      <c r="F38" s="31">
        <v>0</v>
      </c>
      <c r="G38" s="31">
        <v>0.33521990740740742</v>
      </c>
      <c r="H38" s="31">
        <v>0.6626157407407407</v>
      </c>
      <c r="I38" s="43">
        <f>H38-G38</f>
        <v>0.32739583333333327</v>
      </c>
      <c r="J38" s="43">
        <v>0.3</v>
      </c>
      <c r="K38" s="2">
        <f>I38-J38</f>
        <v>2.7395833333333286E-2</v>
      </c>
      <c r="L38" s="3"/>
      <c r="M38" s="4">
        <f>F38/I38</f>
        <v>0</v>
      </c>
      <c r="N38" s="4">
        <f>I38/J38</f>
        <v>1.0913194444444443</v>
      </c>
    </row>
    <row r="39" spans="1:14" x14ac:dyDescent="0.3">
      <c r="A39" s="29">
        <v>45994</v>
      </c>
      <c r="B39" s="8">
        <f>YEAR(A39)</f>
        <v>2025</v>
      </c>
      <c r="C39" s="27" t="str">
        <f>TEXT(A39,"MMMM")</f>
        <v>dezembro</v>
      </c>
      <c r="D39" s="30" t="s">
        <v>16</v>
      </c>
      <c r="E39" s="30" t="s">
        <v>34</v>
      </c>
      <c r="F39" s="31">
        <v>5.5E-2</v>
      </c>
      <c r="G39" s="31">
        <v>0.33412037037037035</v>
      </c>
      <c r="H39" s="31">
        <v>0.63361111111111112</v>
      </c>
      <c r="I39" s="43">
        <f>H39-G39</f>
        <v>0.29949074074074078</v>
      </c>
      <c r="J39" s="43">
        <v>0.3</v>
      </c>
      <c r="K39" s="41"/>
      <c r="L39" s="3">
        <f>J39-I39</f>
        <v>5.0925925925920934E-4</v>
      </c>
      <c r="M39" s="4">
        <f>F39/I39</f>
        <v>0.18364507651878187</v>
      </c>
      <c r="N39" s="4">
        <f>I39/J39</f>
        <v>0.99830246913580267</v>
      </c>
    </row>
    <row r="40" spans="1:14" x14ac:dyDescent="0.3">
      <c r="A40" s="29">
        <v>45994</v>
      </c>
      <c r="B40" s="8">
        <f>YEAR(A40)</f>
        <v>2025</v>
      </c>
      <c r="C40" s="27" t="str">
        <f>TEXT(A40,"MMMM")</f>
        <v>dezembro</v>
      </c>
      <c r="D40" s="30" t="s">
        <v>47</v>
      </c>
      <c r="E40" s="30" t="s">
        <v>17</v>
      </c>
      <c r="F40" s="31">
        <v>3.349537037037037E-2</v>
      </c>
      <c r="G40" s="31">
        <v>0.53767361111111112</v>
      </c>
      <c r="H40" s="31">
        <v>0.75053240740740745</v>
      </c>
      <c r="I40" s="43">
        <f>H40-G40</f>
        <v>0.21285879629629634</v>
      </c>
      <c r="J40" s="43">
        <v>0.25</v>
      </c>
      <c r="K40" s="2"/>
      <c r="L40" s="3">
        <f>J40-I40</f>
        <v>3.7141203703703662E-2</v>
      </c>
      <c r="M40" s="4">
        <f>F40/I40</f>
        <v>0.15735957805448314</v>
      </c>
      <c r="N40" s="4">
        <f>I40/J40</f>
        <v>0.85143518518518535</v>
      </c>
    </row>
    <row r="41" spans="1:14" x14ac:dyDescent="0.3">
      <c r="A41" s="29">
        <v>45994</v>
      </c>
      <c r="B41" s="8">
        <f>YEAR(A41)</f>
        <v>2025</v>
      </c>
      <c r="C41" s="27" t="str">
        <f>TEXT(A41,"MMMM")</f>
        <v>dezembro</v>
      </c>
      <c r="D41" s="30" t="s">
        <v>18</v>
      </c>
      <c r="E41" s="30" t="s">
        <v>14</v>
      </c>
      <c r="F41" s="31">
        <v>0</v>
      </c>
      <c r="G41" s="31">
        <v>0.33906249999999999</v>
      </c>
      <c r="H41" s="31">
        <v>0.64181712962962967</v>
      </c>
      <c r="I41" s="43">
        <f>H41-G41</f>
        <v>0.30275462962962968</v>
      </c>
      <c r="J41" s="43">
        <v>0.3</v>
      </c>
      <c r="K41" s="2">
        <f>I41-J41</f>
        <v>2.7546296296296902E-3</v>
      </c>
      <c r="L41" s="3"/>
      <c r="M41" s="4">
        <f>F41/I41</f>
        <v>0</v>
      </c>
      <c r="N41" s="4">
        <f>I41/J41</f>
        <v>1.0091820987654323</v>
      </c>
    </row>
    <row r="42" spans="1:14" x14ac:dyDescent="0.3">
      <c r="A42" s="29">
        <v>45994</v>
      </c>
      <c r="B42" s="8">
        <f>YEAR(A42)</f>
        <v>2025</v>
      </c>
      <c r="C42" s="27" t="str">
        <f>TEXT(A42,"MMMM")</f>
        <v>dezembro</v>
      </c>
      <c r="D42" s="30" t="s">
        <v>19</v>
      </c>
      <c r="E42" s="30" t="s">
        <v>17</v>
      </c>
      <c r="F42" s="31">
        <v>4.8159722222222222E-2</v>
      </c>
      <c r="G42" s="31">
        <v>0.33512731481481484</v>
      </c>
      <c r="H42" s="31">
        <v>0.6343981481481481</v>
      </c>
      <c r="I42" s="43">
        <f>H42-G42</f>
        <v>0.29927083333333326</v>
      </c>
      <c r="J42" s="43">
        <v>0.3</v>
      </c>
      <c r="K42" s="2"/>
      <c r="L42" s="3">
        <f>J42-I42</f>
        <v>7.2916666666672514E-4</v>
      </c>
      <c r="M42" s="4">
        <f>F42/I42</f>
        <v>0.1609235410140388</v>
      </c>
      <c r="N42" s="4">
        <f>I42/J42</f>
        <v>0.99756944444444429</v>
      </c>
    </row>
    <row r="43" spans="1:14" x14ac:dyDescent="0.3">
      <c r="A43" s="29">
        <v>45994</v>
      </c>
      <c r="B43" s="8">
        <f>YEAR(A43)</f>
        <v>2025</v>
      </c>
      <c r="C43" s="27" t="str">
        <f>TEXT(A43,"MMMM")</f>
        <v>dezembro</v>
      </c>
      <c r="D43" s="30" t="s">
        <v>20</v>
      </c>
      <c r="E43" s="30" t="s">
        <v>21</v>
      </c>
      <c r="F43" s="31">
        <v>4.9699074074074076E-2</v>
      </c>
      <c r="G43" s="31">
        <v>0.33466435185185184</v>
      </c>
      <c r="H43" s="31">
        <v>0.67543981481481485</v>
      </c>
      <c r="I43" s="43">
        <f>H43-G43</f>
        <v>0.34077546296296302</v>
      </c>
      <c r="J43" s="43">
        <v>0.3</v>
      </c>
      <c r="K43" s="2">
        <f>I43-J43</f>
        <v>4.0775462962963027E-2</v>
      </c>
      <c r="L43" s="3"/>
      <c r="M43" s="4">
        <f>F43/I43</f>
        <v>0.14584111673402844</v>
      </c>
      <c r="N43" s="4">
        <f>I43/J43</f>
        <v>1.1359182098765435</v>
      </c>
    </row>
    <row r="44" spans="1:14" x14ac:dyDescent="0.3">
      <c r="A44" s="29">
        <v>45994</v>
      </c>
      <c r="B44" s="8">
        <f>YEAR(A44)</f>
        <v>2025</v>
      </c>
      <c r="C44" s="27" t="str">
        <f>TEXT(A44,"MMMM")</f>
        <v>dezembro</v>
      </c>
      <c r="D44" s="30" t="s">
        <v>69</v>
      </c>
      <c r="E44" s="30" t="s">
        <v>17</v>
      </c>
      <c r="F44" s="31">
        <v>3.8124999999999999E-2</v>
      </c>
      <c r="G44" s="31">
        <v>0.3348726851851852</v>
      </c>
      <c r="H44" s="31">
        <v>0.67601851851851846</v>
      </c>
      <c r="I44" s="43">
        <f>H44-G44</f>
        <v>0.34114583333333326</v>
      </c>
      <c r="J44" s="43">
        <v>0.3</v>
      </c>
      <c r="K44" s="2">
        <f>I44-J44</f>
        <v>4.114583333333327E-2</v>
      </c>
      <c r="L44" s="3"/>
      <c r="M44" s="4">
        <f>F44/I44</f>
        <v>0.11175572519083972</v>
      </c>
      <c r="N44" s="4">
        <f>I44/J44</f>
        <v>1.1371527777777777</v>
      </c>
    </row>
    <row r="45" spans="1:14" x14ac:dyDescent="0.3">
      <c r="A45" s="29">
        <v>45994</v>
      </c>
      <c r="B45" s="8">
        <f>YEAR(A45)</f>
        <v>2025</v>
      </c>
      <c r="C45" s="27" t="str">
        <f>TEXT(A45,"MMMM")</f>
        <v>dezembro</v>
      </c>
      <c r="D45" s="30" t="s">
        <v>22</v>
      </c>
      <c r="E45" s="30" t="s">
        <v>21</v>
      </c>
      <c r="F45" s="31">
        <v>3.3472222222222223E-2</v>
      </c>
      <c r="G45" s="31">
        <v>0.41714120370370372</v>
      </c>
      <c r="H45" s="31">
        <v>0.75457175925925923</v>
      </c>
      <c r="I45" s="43">
        <f>H45-G45</f>
        <v>0.33743055555555551</v>
      </c>
      <c r="J45" s="43">
        <v>0.3</v>
      </c>
      <c r="K45" s="2">
        <f>I45-J45</f>
        <v>3.7430555555555522E-2</v>
      </c>
      <c r="L45" s="3"/>
      <c r="M45" s="4">
        <f>F45/I45</f>
        <v>9.9197365713109706E-2</v>
      </c>
      <c r="N45" s="4">
        <f>I45/J45</f>
        <v>1.1247685185185183</v>
      </c>
    </row>
    <row r="46" spans="1:14" x14ac:dyDescent="0.3">
      <c r="A46" s="29">
        <v>45994</v>
      </c>
      <c r="B46" s="8">
        <f>YEAR(A46)</f>
        <v>2025</v>
      </c>
      <c r="C46" s="27" t="str">
        <f>TEXT(A46,"MMMM")</f>
        <v>dezembro</v>
      </c>
      <c r="D46" s="30" t="s">
        <v>33</v>
      </c>
      <c r="E46" s="30" t="s">
        <v>34</v>
      </c>
      <c r="F46" s="31">
        <v>2.7094907407407408E-2</v>
      </c>
      <c r="G46" s="31">
        <v>0.33372685185185186</v>
      </c>
      <c r="H46" s="31">
        <v>0.63377314814814811</v>
      </c>
      <c r="I46" s="43">
        <f>H46-G46</f>
        <v>0.30004629629629626</v>
      </c>
      <c r="J46" s="43">
        <v>0.3</v>
      </c>
      <c r="K46" s="2">
        <f>I46-J46</f>
        <v>4.6296296296266526E-5</v>
      </c>
      <c r="L46" s="3"/>
      <c r="M46" s="4">
        <f>F46/I46</f>
        <v>9.0302422465668886E-2</v>
      </c>
      <c r="N46" s="4">
        <f>I46/J46</f>
        <v>1.0001543209876542</v>
      </c>
    </row>
    <row r="47" spans="1:14" x14ac:dyDescent="0.3">
      <c r="A47" s="29">
        <v>45994</v>
      </c>
      <c r="B47" s="8">
        <f>YEAR(A47)</f>
        <v>2025</v>
      </c>
      <c r="C47" s="27" t="str">
        <f>TEXT(A47,"MMMM")</f>
        <v>dezembro</v>
      </c>
      <c r="D47" s="30" t="s">
        <v>23</v>
      </c>
      <c r="E47" s="30" t="s">
        <v>17</v>
      </c>
      <c r="F47" s="31">
        <v>4.7766203703703707E-2</v>
      </c>
      <c r="G47" s="31">
        <v>0.43510416666666668</v>
      </c>
      <c r="H47" s="31">
        <v>0.75033564814814813</v>
      </c>
      <c r="I47" s="43">
        <f>H47-G47</f>
        <v>0.31523148148148145</v>
      </c>
      <c r="J47" s="43">
        <v>0.3</v>
      </c>
      <c r="K47" s="2">
        <f>I47-J47</f>
        <v>1.5231481481481457E-2</v>
      </c>
      <c r="L47" s="3"/>
      <c r="M47" s="4">
        <f>F47/I47</f>
        <v>0.15152739021882805</v>
      </c>
      <c r="N47" s="4">
        <f>I47/J47</f>
        <v>1.0507716049382716</v>
      </c>
    </row>
    <row r="48" spans="1:14" x14ac:dyDescent="0.3">
      <c r="A48" s="29">
        <v>45994</v>
      </c>
      <c r="B48" s="8">
        <f>YEAR(A48)</f>
        <v>2025</v>
      </c>
      <c r="C48" s="27" t="str">
        <f>TEXT(A48,"MMMM")</f>
        <v>dezembro</v>
      </c>
      <c r="D48" s="30" t="s">
        <v>31</v>
      </c>
      <c r="E48" s="30" t="s">
        <v>21</v>
      </c>
      <c r="F48" s="31">
        <v>4.9375000000000002E-2</v>
      </c>
      <c r="G48" s="31">
        <v>0.43106481481481479</v>
      </c>
      <c r="H48" s="31">
        <v>0.75020833333333337</v>
      </c>
      <c r="I48" s="43">
        <f>H48-G48</f>
        <v>0.31914351851851858</v>
      </c>
      <c r="J48" s="43">
        <v>0.3</v>
      </c>
      <c r="K48" s="2">
        <f>I48-J48</f>
        <v>1.9143518518518587E-2</v>
      </c>
      <c r="L48" s="3"/>
      <c r="M48" s="4">
        <f>F48/I48</f>
        <v>0.1547109595996228</v>
      </c>
      <c r="N48" s="4">
        <f>I48/J48</f>
        <v>1.0638117283950619</v>
      </c>
    </row>
    <row r="49" spans="1:14" x14ac:dyDescent="0.3">
      <c r="A49" s="29">
        <v>45994</v>
      </c>
      <c r="B49" s="8">
        <f>YEAR(A49)</f>
        <v>2025</v>
      </c>
      <c r="C49" s="27" t="str">
        <f>TEXT(A49,"MMMM")</f>
        <v>dezembro</v>
      </c>
      <c r="D49" s="30" t="s">
        <v>25</v>
      </c>
      <c r="E49" s="30" t="s">
        <v>21</v>
      </c>
      <c r="F49" s="31">
        <v>5.4259259259259257E-2</v>
      </c>
      <c r="G49" s="31">
        <v>0.33333333333333331</v>
      </c>
      <c r="H49" s="31">
        <v>0.65464120370370371</v>
      </c>
      <c r="I49" s="43">
        <f>H49-G49</f>
        <v>0.3213078703703704</v>
      </c>
      <c r="J49" s="43">
        <v>0.3</v>
      </c>
      <c r="K49" s="2">
        <f>I49-J49</f>
        <v>2.1307870370370408E-2</v>
      </c>
      <c r="L49" s="3"/>
      <c r="M49" s="4">
        <f>F49/I49</f>
        <v>0.16886999747847697</v>
      </c>
      <c r="N49" s="4">
        <f>I49/J49</f>
        <v>1.0710262345679014</v>
      </c>
    </row>
    <row r="50" spans="1:14" x14ac:dyDescent="0.3">
      <c r="A50" s="29">
        <v>45994</v>
      </c>
      <c r="B50" s="8">
        <f>YEAR(A50)</f>
        <v>2025</v>
      </c>
      <c r="C50" s="27" t="str">
        <f>TEXT(A50,"MMMM")</f>
        <v>dezembro</v>
      </c>
      <c r="D50" s="30" t="s">
        <v>26</v>
      </c>
      <c r="E50" s="30" t="s">
        <v>15</v>
      </c>
      <c r="F50" s="31">
        <v>2.7627314814814816E-2</v>
      </c>
      <c r="G50" s="31">
        <v>0.49270833333333336</v>
      </c>
      <c r="H50" s="31">
        <v>0.75083333333333335</v>
      </c>
      <c r="I50" s="43">
        <f>H50-G50</f>
        <v>0.25812499999999999</v>
      </c>
      <c r="J50" s="43">
        <v>0.3</v>
      </c>
      <c r="K50" s="2"/>
      <c r="L50" s="3">
        <f>J50-I50</f>
        <v>4.1874999999999996E-2</v>
      </c>
      <c r="M50" s="4">
        <f>F50/I50</f>
        <v>0.10703075957313246</v>
      </c>
      <c r="N50" s="4">
        <f>I50/J50</f>
        <v>0.86041666666666672</v>
      </c>
    </row>
    <row r="51" spans="1:14" x14ac:dyDescent="0.3">
      <c r="A51" s="29">
        <v>45994</v>
      </c>
      <c r="B51" s="8">
        <f>YEAR(A51)</f>
        <v>2025</v>
      </c>
      <c r="C51" s="27" t="str">
        <f>TEXT(A51,"MMMM")</f>
        <v>dezembro</v>
      </c>
      <c r="D51" s="30" t="s">
        <v>65</v>
      </c>
      <c r="E51" s="30" t="s">
        <v>14</v>
      </c>
      <c r="F51" s="31">
        <v>4.6400462962962963E-2</v>
      </c>
      <c r="G51" s="31">
        <v>0.33398148148148149</v>
      </c>
      <c r="H51" s="31">
        <v>0.63377314814814811</v>
      </c>
      <c r="I51" s="43">
        <f>H51-G51</f>
        <v>0.29979166666666662</v>
      </c>
      <c r="J51" s="43">
        <v>0.3</v>
      </c>
      <c r="K51" s="2"/>
      <c r="L51" s="3">
        <f>J51-I51</f>
        <v>2.083333333333659E-4</v>
      </c>
      <c r="M51" s="4">
        <f>F51/I51</f>
        <v>0.15477569299667981</v>
      </c>
      <c r="N51" s="4">
        <f>I51/J51</f>
        <v>0.99930555555555545</v>
      </c>
    </row>
    <row r="52" spans="1:14" x14ac:dyDescent="0.3">
      <c r="A52" s="29">
        <v>45994</v>
      </c>
      <c r="B52" s="8">
        <f>YEAR(A52)</f>
        <v>2025</v>
      </c>
      <c r="C52" s="27" t="str">
        <f>TEXT(A52,"MMMM")</f>
        <v>dezembro</v>
      </c>
      <c r="D52" s="30" t="s">
        <v>27</v>
      </c>
      <c r="E52" s="30" t="s">
        <v>17</v>
      </c>
      <c r="F52" s="31">
        <v>4.4791666666666667E-2</v>
      </c>
      <c r="G52" s="31">
        <v>0.33376157407407409</v>
      </c>
      <c r="H52" s="31">
        <v>0.67547453703703708</v>
      </c>
      <c r="I52" s="43">
        <f>H52-G52</f>
        <v>0.341712962962963</v>
      </c>
      <c r="J52" s="43">
        <v>0.3</v>
      </c>
      <c r="K52" s="2">
        <f>I52-J52</f>
        <v>4.1712962962963007E-2</v>
      </c>
      <c r="L52" s="3"/>
      <c r="M52" s="4">
        <f>F52/I52</f>
        <v>0.1310797994851646</v>
      </c>
      <c r="N52" s="4">
        <f>I52/J52</f>
        <v>1.1390432098765433</v>
      </c>
    </row>
    <row r="53" spans="1:14" x14ac:dyDescent="0.3">
      <c r="A53" s="29">
        <v>45994</v>
      </c>
      <c r="B53" s="8">
        <f>YEAR(A53)</f>
        <v>2025</v>
      </c>
      <c r="C53" s="27" t="str">
        <f>TEXT(A53,"MMMM")</f>
        <v>dezembro</v>
      </c>
      <c r="D53" s="30" t="s">
        <v>68</v>
      </c>
      <c r="E53" s="30" t="s">
        <v>34</v>
      </c>
      <c r="F53" s="31">
        <v>4.2534722222222224E-2</v>
      </c>
      <c r="G53" s="31">
        <v>0.44260416666666669</v>
      </c>
      <c r="H53" s="31">
        <v>0.75027777777777782</v>
      </c>
      <c r="I53" s="43">
        <f>H53-G53</f>
        <v>0.30767361111111113</v>
      </c>
      <c r="J53" s="43">
        <v>0.3</v>
      </c>
      <c r="K53" s="2">
        <f>I53-J53</f>
        <v>7.6736111111111449E-3</v>
      </c>
      <c r="L53" s="3"/>
      <c r="M53" s="4">
        <f>F53/I53</f>
        <v>0.13824624760185081</v>
      </c>
      <c r="N53" s="4">
        <f>I53/J53</f>
        <v>1.0255787037037039</v>
      </c>
    </row>
    <row r="54" spans="1:14" x14ac:dyDescent="0.3">
      <c r="A54" s="29">
        <v>45994</v>
      </c>
      <c r="B54" s="8">
        <f>YEAR(A54)</f>
        <v>2025</v>
      </c>
      <c r="C54" s="27" t="str">
        <f>TEXT(A54,"MMMM")</f>
        <v>dezembro</v>
      </c>
      <c r="D54" s="30" t="s">
        <v>32</v>
      </c>
      <c r="E54" s="30" t="s">
        <v>34</v>
      </c>
      <c r="F54" s="31">
        <v>5.0289351851851849E-2</v>
      </c>
      <c r="G54" s="31">
        <v>0.44869212962962962</v>
      </c>
      <c r="H54" s="31">
        <v>0.75026620370370367</v>
      </c>
      <c r="I54" s="43">
        <f>H54-G54</f>
        <v>0.30157407407407405</v>
      </c>
      <c r="J54" s="43">
        <v>0.3</v>
      </c>
      <c r="K54" s="2">
        <f>I54-J54</f>
        <v>1.5740740740740611E-3</v>
      </c>
      <c r="L54" s="3"/>
      <c r="M54" s="4">
        <f>F54/I54</f>
        <v>0.16675621737795518</v>
      </c>
      <c r="N54" s="4">
        <f>I54/J54</f>
        <v>1.0052469135802469</v>
      </c>
    </row>
    <row r="55" spans="1:14" x14ac:dyDescent="0.3">
      <c r="A55" s="29">
        <v>45994</v>
      </c>
      <c r="B55" s="8">
        <f>YEAR(A55)</f>
        <v>2025</v>
      </c>
      <c r="C55" s="27" t="str">
        <f>TEXT(A55,"MMMM")</f>
        <v>dezembro</v>
      </c>
      <c r="D55" s="30" t="s">
        <v>30</v>
      </c>
      <c r="E55" s="30" t="s">
        <v>34</v>
      </c>
      <c r="F55" s="31">
        <v>5.6076388888888891E-2</v>
      </c>
      <c r="G55" s="31">
        <v>0.33412037037037035</v>
      </c>
      <c r="H55" s="31">
        <v>0.63472222222222219</v>
      </c>
      <c r="I55" s="43">
        <f>H55-G55</f>
        <v>0.30060185185185184</v>
      </c>
      <c r="J55" s="43">
        <v>0.3</v>
      </c>
      <c r="K55" s="2">
        <f>I55-J55</f>
        <v>6.0185185185185341E-4</v>
      </c>
      <c r="L55" s="3"/>
      <c r="M55" s="4">
        <f>F55/I55</f>
        <v>0.18654705066995228</v>
      </c>
      <c r="N55" s="4">
        <f>I55/J55</f>
        <v>1.0020061728395062</v>
      </c>
    </row>
    <row r="56" spans="1:14" x14ac:dyDescent="0.3">
      <c r="A56" s="29">
        <v>45994</v>
      </c>
      <c r="B56" s="8">
        <f>YEAR(A56)</f>
        <v>2025</v>
      </c>
      <c r="C56" s="27" t="str">
        <f>TEXT(A56,"MMMM")</f>
        <v>dezembro</v>
      </c>
      <c r="D56" s="30" t="s">
        <v>28</v>
      </c>
      <c r="E56" s="30" t="s">
        <v>14</v>
      </c>
      <c r="F56" s="31">
        <v>0</v>
      </c>
      <c r="G56" s="31">
        <v>0.33569444444444446</v>
      </c>
      <c r="H56" s="31">
        <v>0.64354166666666668</v>
      </c>
      <c r="I56" s="43">
        <f>H56-G56</f>
        <v>0.30784722222222222</v>
      </c>
      <c r="J56" s="43">
        <v>0.3</v>
      </c>
      <c r="K56" s="2">
        <f>I56-J56</f>
        <v>7.8472222222222276E-3</v>
      </c>
      <c r="L56" s="3"/>
      <c r="M56" s="4">
        <f>F56/I56</f>
        <v>0</v>
      </c>
      <c r="N56" s="4">
        <f>I56/J56</f>
        <v>1.0261574074074074</v>
      </c>
    </row>
    <row r="57" spans="1:14" x14ac:dyDescent="0.3">
      <c r="A57" s="29">
        <v>45994</v>
      </c>
      <c r="B57" s="8">
        <f>YEAR(A57)</f>
        <v>2025</v>
      </c>
      <c r="C57" s="27" t="str">
        <f>TEXT(A57,"MMMM")</f>
        <v>dezembro</v>
      </c>
      <c r="D57" s="30" t="s">
        <v>29</v>
      </c>
      <c r="E57" s="30" t="s">
        <v>14</v>
      </c>
      <c r="F57" s="31">
        <v>0</v>
      </c>
      <c r="G57" s="31">
        <v>0.35385416666666669</v>
      </c>
      <c r="H57" s="31">
        <v>0.63747685185185188</v>
      </c>
      <c r="I57" s="43">
        <f>H57-G57</f>
        <v>0.28362268518518519</v>
      </c>
      <c r="J57" s="43">
        <v>0.3</v>
      </c>
      <c r="K57" s="2"/>
      <c r="L57" s="3">
        <f>J57-I57</f>
        <v>1.6377314814814803E-2</v>
      </c>
      <c r="M57" s="4">
        <f>F57/I57</f>
        <v>0</v>
      </c>
      <c r="N57" s="4">
        <f>I57/J57</f>
        <v>0.94540895061728403</v>
      </c>
    </row>
    <row r="58" spans="1:14" x14ac:dyDescent="0.3">
      <c r="A58" s="29">
        <v>45995</v>
      </c>
      <c r="B58" s="8">
        <f>YEAR(A58)</f>
        <v>2025</v>
      </c>
      <c r="C58" s="27" t="str">
        <f>TEXT(A58,"MMMM")</f>
        <v>dezembro</v>
      </c>
      <c r="D58" s="30" t="s">
        <v>16</v>
      </c>
      <c r="E58" s="30" t="s">
        <v>34</v>
      </c>
      <c r="F58" s="31">
        <v>4.0289351851851854E-2</v>
      </c>
      <c r="G58" s="31">
        <v>0.33394675925925926</v>
      </c>
      <c r="H58" s="31">
        <v>0.6337962962962963</v>
      </c>
      <c r="I58" s="43">
        <f>H58-G58</f>
        <v>0.29984953703703704</v>
      </c>
      <c r="J58" s="43">
        <v>0.3</v>
      </c>
      <c r="K58" s="41"/>
      <c r="L58" s="3">
        <f>J58-I58</f>
        <v>1.5046296296294948E-4</v>
      </c>
      <c r="M58" s="4">
        <f>F58/I58</f>
        <v>0.13436522947465937</v>
      </c>
      <c r="N58" s="4">
        <f>I58/J58</f>
        <v>0.9994984567901235</v>
      </c>
    </row>
    <row r="59" spans="1:14" x14ac:dyDescent="0.3">
      <c r="A59" s="29">
        <v>45995</v>
      </c>
      <c r="B59" s="8">
        <f>YEAR(A59)</f>
        <v>2025</v>
      </c>
      <c r="C59" s="27" t="str">
        <f>TEXT(A59,"MMMM")</f>
        <v>dezembro</v>
      </c>
      <c r="D59" s="30" t="s">
        <v>47</v>
      </c>
      <c r="E59" s="30" t="s">
        <v>17</v>
      </c>
      <c r="F59" s="31">
        <v>3.9178240740740743E-2</v>
      </c>
      <c r="G59" s="31">
        <v>0.50342592592592594</v>
      </c>
      <c r="H59" s="31">
        <v>0.75133101851851847</v>
      </c>
      <c r="I59" s="43">
        <f>H59-G59</f>
        <v>0.24790509259259252</v>
      </c>
      <c r="J59" s="43">
        <v>0.25</v>
      </c>
      <c r="K59" s="2"/>
      <c r="L59" s="3">
        <f>J59-I59</f>
        <v>2.0949074074074758E-3</v>
      </c>
      <c r="M59" s="4">
        <f>F59/I59</f>
        <v>0.15803725664129983</v>
      </c>
      <c r="N59" s="4">
        <f>I59/J59</f>
        <v>0.9916203703703701</v>
      </c>
    </row>
    <row r="60" spans="1:14" x14ac:dyDescent="0.3">
      <c r="A60" s="29">
        <v>45995</v>
      </c>
      <c r="B60" s="8">
        <f>YEAR(A60)</f>
        <v>2025</v>
      </c>
      <c r="C60" s="27" t="str">
        <f>TEXT(A60,"MMMM")</f>
        <v>dezembro</v>
      </c>
      <c r="D60" s="30" t="s">
        <v>18</v>
      </c>
      <c r="E60" s="30" t="s">
        <v>14</v>
      </c>
      <c r="F60" s="31">
        <v>0</v>
      </c>
      <c r="G60" s="31">
        <v>0.34916666666666668</v>
      </c>
      <c r="H60" s="31">
        <v>0.66229166666666661</v>
      </c>
      <c r="I60" s="43">
        <f>H60-G60</f>
        <v>0.31312499999999993</v>
      </c>
      <c r="J60" s="43">
        <v>0.3</v>
      </c>
      <c r="K60" s="2">
        <f>I60-J60</f>
        <v>1.3124999999999942E-2</v>
      </c>
      <c r="L60" s="3"/>
      <c r="M60" s="4">
        <f>F60/I60</f>
        <v>0</v>
      </c>
      <c r="N60" s="4">
        <f>I60/J60</f>
        <v>1.0437499999999997</v>
      </c>
    </row>
    <row r="61" spans="1:14" x14ac:dyDescent="0.3">
      <c r="A61" s="29">
        <v>45995</v>
      </c>
      <c r="B61" s="8">
        <f>YEAR(A61)</f>
        <v>2025</v>
      </c>
      <c r="C61" s="27" t="str">
        <f>TEXT(A61,"MMMM")</f>
        <v>dezembro</v>
      </c>
      <c r="D61" s="30" t="s">
        <v>19</v>
      </c>
      <c r="E61" s="30" t="s">
        <v>17</v>
      </c>
      <c r="F61" s="31">
        <v>5.7164351851851855E-2</v>
      </c>
      <c r="G61" s="31">
        <v>0.33579861111111109</v>
      </c>
      <c r="H61" s="31">
        <v>0.63394675925925925</v>
      </c>
      <c r="I61" s="43">
        <f>H61-G61</f>
        <v>0.29814814814814816</v>
      </c>
      <c r="J61" s="43">
        <v>0.3</v>
      </c>
      <c r="K61" s="2"/>
      <c r="L61" s="3">
        <f>J61-I61</f>
        <v>1.8518518518518268E-3</v>
      </c>
      <c r="M61" s="4">
        <f>F61/I61</f>
        <v>0.19173136645962732</v>
      </c>
      <c r="N61" s="4">
        <f>I61/J61</f>
        <v>0.99382716049382724</v>
      </c>
    </row>
    <row r="62" spans="1:14" x14ac:dyDescent="0.3">
      <c r="A62" s="29">
        <v>45995</v>
      </c>
      <c r="B62" s="8">
        <f>YEAR(A62)</f>
        <v>2025</v>
      </c>
      <c r="C62" s="27" t="str">
        <f>TEXT(A62,"MMMM")</f>
        <v>dezembro</v>
      </c>
      <c r="D62" s="30" t="s">
        <v>20</v>
      </c>
      <c r="E62" s="30" t="s">
        <v>21</v>
      </c>
      <c r="F62" s="31">
        <v>4.5868055555555558E-2</v>
      </c>
      <c r="G62" s="31">
        <v>0.33534722222222224</v>
      </c>
      <c r="H62" s="31">
        <v>0.6341782407407407</v>
      </c>
      <c r="I62" s="43">
        <f>H62-G62</f>
        <v>0.29883101851851845</v>
      </c>
      <c r="J62" s="43">
        <v>0.3</v>
      </c>
      <c r="K62" s="2"/>
      <c r="L62" s="3">
        <f>J62-I62</f>
        <v>1.1689814814815347E-3</v>
      </c>
      <c r="M62" s="4">
        <f>F62/I62</f>
        <v>0.15349161470235101</v>
      </c>
      <c r="N62" s="4">
        <f>I62/J62</f>
        <v>0.99610339506172818</v>
      </c>
    </row>
    <row r="63" spans="1:14" x14ac:dyDescent="0.3">
      <c r="A63" s="29">
        <v>45995</v>
      </c>
      <c r="B63" s="8">
        <f>YEAR(A63)</f>
        <v>2025</v>
      </c>
      <c r="C63" s="27" t="str">
        <f>TEXT(A63,"MMMM")</f>
        <v>dezembro</v>
      </c>
      <c r="D63" s="30" t="s">
        <v>69</v>
      </c>
      <c r="E63" s="30" t="s">
        <v>17</v>
      </c>
      <c r="F63" s="31">
        <v>3.7662037037037036E-2</v>
      </c>
      <c r="G63" s="31">
        <v>0.33603009259259259</v>
      </c>
      <c r="H63" s="31">
        <v>0.63442129629629629</v>
      </c>
      <c r="I63" s="43">
        <f>H63-G63</f>
        <v>0.2983912037037037</v>
      </c>
      <c r="J63" s="43">
        <v>0.3</v>
      </c>
      <c r="K63" s="2"/>
      <c r="L63" s="3">
        <f>J63-I63</f>
        <v>1.6087962962962887E-3</v>
      </c>
      <c r="M63" s="4">
        <f>F63/I63</f>
        <v>0.1262169814980024</v>
      </c>
      <c r="N63" s="4">
        <f>I63/J63</f>
        <v>0.99463734567901241</v>
      </c>
    </row>
    <row r="64" spans="1:14" x14ac:dyDescent="0.3">
      <c r="A64" s="29">
        <v>45995</v>
      </c>
      <c r="B64" s="8">
        <f>YEAR(A64)</f>
        <v>2025</v>
      </c>
      <c r="C64" s="27" t="str">
        <f>TEXT(A64,"MMMM")</f>
        <v>dezembro</v>
      </c>
      <c r="D64" s="30" t="s">
        <v>22</v>
      </c>
      <c r="E64" s="30" t="s">
        <v>21</v>
      </c>
      <c r="F64" s="31">
        <v>4.0219907407407406E-2</v>
      </c>
      <c r="G64" s="31">
        <v>0.40917824074074072</v>
      </c>
      <c r="H64" s="31">
        <v>0.75049768518518523</v>
      </c>
      <c r="I64" s="43">
        <f>H64-G64</f>
        <v>0.34131944444444451</v>
      </c>
      <c r="J64" s="43">
        <v>0.3</v>
      </c>
      <c r="K64" s="2">
        <f>I64-J64</f>
        <v>4.131944444444452E-2</v>
      </c>
      <c r="L64" s="3"/>
      <c r="M64" s="4">
        <f>F64/I64</f>
        <v>0.11783655476432686</v>
      </c>
      <c r="N64" s="4">
        <f>I64/J64</f>
        <v>1.1377314814814818</v>
      </c>
    </row>
    <row r="65" spans="1:14" x14ac:dyDescent="0.3">
      <c r="A65" s="29">
        <v>45995</v>
      </c>
      <c r="B65" s="8">
        <f>YEAR(A65)</f>
        <v>2025</v>
      </c>
      <c r="C65" s="27" t="str">
        <f>TEXT(A65,"MMMM")</f>
        <v>dezembro</v>
      </c>
      <c r="D65" s="30" t="s">
        <v>33</v>
      </c>
      <c r="E65" s="30" t="s">
        <v>34</v>
      </c>
      <c r="F65" s="31">
        <v>3.2847222222222222E-2</v>
      </c>
      <c r="G65" s="31">
        <v>0.33372685185185186</v>
      </c>
      <c r="H65" s="31">
        <v>0.63363425925925931</v>
      </c>
      <c r="I65" s="43">
        <f>H65-G65</f>
        <v>0.29990740740740746</v>
      </c>
      <c r="J65" s="43">
        <v>0.3</v>
      </c>
      <c r="K65" s="2"/>
      <c r="L65" s="3">
        <f>J65-I65</f>
        <v>9.2592592592533052E-5</v>
      </c>
      <c r="M65" s="4">
        <f>F65/I65</f>
        <v>0.10952454461253472</v>
      </c>
      <c r="N65" s="4">
        <f>I65/J65</f>
        <v>0.99969135802469156</v>
      </c>
    </row>
    <row r="66" spans="1:14" x14ac:dyDescent="0.3">
      <c r="A66" s="29">
        <v>45995</v>
      </c>
      <c r="B66" s="8">
        <f>YEAR(A66)</f>
        <v>2025</v>
      </c>
      <c r="C66" s="27" t="str">
        <f>TEXT(A66,"MMMM")</f>
        <v>dezembro</v>
      </c>
      <c r="D66" s="30" t="s">
        <v>23</v>
      </c>
      <c r="E66" s="30" t="s">
        <v>17</v>
      </c>
      <c r="F66" s="31">
        <v>4.5312499999999999E-2</v>
      </c>
      <c r="G66" s="31">
        <v>0.44605324074074076</v>
      </c>
      <c r="H66" s="31">
        <v>0.75157407407407406</v>
      </c>
      <c r="I66" s="43">
        <f>H66-G66</f>
        <v>0.3055208333333333</v>
      </c>
      <c r="J66" s="43">
        <v>0.3</v>
      </c>
      <c r="K66" s="2">
        <f>I66-J66</f>
        <v>5.5208333333333082E-3</v>
      </c>
      <c r="L66" s="3"/>
      <c r="M66" s="4">
        <f>F66/I66</f>
        <v>0.14831230821684283</v>
      </c>
      <c r="N66" s="4">
        <f>I66/J66</f>
        <v>1.0184027777777778</v>
      </c>
    </row>
    <row r="67" spans="1:14" x14ac:dyDescent="0.3">
      <c r="A67" s="29">
        <v>45995</v>
      </c>
      <c r="B67" s="8">
        <f>YEAR(A67)</f>
        <v>2025</v>
      </c>
      <c r="C67" s="27" t="str">
        <f>TEXT(A67,"MMMM")</f>
        <v>dezembro</v>
      </c>
      <c r="D67" s="30" t="s">
        <v>31</v>
      </c>
      <c r="E67" s="30" t="s">
        <v>21</v>
      </c>
      <c r="F67" s="31">
        <v>4.6817129629629632E-2</v>
      </c>
      <c r="G67" s="31">
        <v>0.45091435185185186</v>
      </c>
      <c r="H67" s="31">
        <v>0.75185185185185188</v>
      </c>
      <c r="I67" s="43">
        <f>H67-G67</f>
        <v>0.30093750000000002</v>
      </c>
      <c r="J67" s="43">
        <v>0.3</v>
      </c>
      <c r="K67" s="2">
        <f>I67-J67</f>
        <v>9.3750000000003553E-4</v>
      </c>
      <c r="L67" s="3"/>
      <c r="M67" s="4">
        <f>F67/I67</f>
        <v>0.15557093957924695</v>
      </c>
      <c r="N67" s="4">
        <f>I67/J67</f>
        <v>1.003125</v>
      </c>
    </row>
    <row r="68" spans="1:14" x14ac:dyDescent="0.3">
      <c r="A68" s="29">
        <v>45995</v>
      </c>
      <c r="B68" s="8">
        <f>YEAR(A68)</f>
        <v>2025</v>
      </c>
      <c r="C68" s="27" t="str">
        <f>TEXT(A68,"MMMM")</f>
        <v>dezembro</v>
      </c>
      <c r="D68" s="30" t="s">
        <v>25</v>
      </c>
      <c r="E68" s="30" t="s">
        <v>21</v>
      </c>
      <c r="F68" s="31">
        <v>4.4999999999999998E-2</v>
      </c>
      <c r="G68" s="31">
        <v>0.33449074074074076</v>
      </c>
      <c r="H68" s="31">
        <v>0.65504629629629629</v>
      </c>
      <c r="I68" s="43">
        <f>H68-G68</f>
        <v>0.32055555555555554</v>
      </c>
      <c r="J68" s="43">
        <v>0.3</v>
      </c>
      <c r="K68" s="2">
        <f>I68-J68</f>
        <v>2.0555555555555549E-2</v>
      </c>
      <c r="L68" s="3"/>
      <c r="M68" s="4">
        <f>F68/I68</f>
        <v>0.14038128249566725</v>
      </c>
      <c r="N68" s="4">
        <f>I68/J68</f>
        <v>1.0685185185185184</v>
      </c>
    </row>
    <row r="69" spans="1:14" x14ac:dyDescent="0.3">
      <c r="A69" s="29">
        <v>45995</v>
      </c>
      <c r="B69" s="8">
        <f>YEAR(A69)</f>
        <v>2025</v>
      </c>
      <c r="C69" s="27" t="str">
        <f>TEXT(A69,"MMMM")</f>
        <v>dezembro</v>
      </c>
      <c r="D69" s="30" t="s">
        <v>26</v>
      </c>
      <c r="E69" s="30" t="s">
        <v>15</v>
      </c>
      <c r="F69" s="31">
        <v>3.7071759259259263E-2</v>
      </c>
      <c r="G69" s="31">
        <v>0.33336805555555554</v>
      </c>
      <c r="H69" s="31">
        <v>0.63582175925925921</v>
      </c>
      <c r="I69" s="43">
        <f>H69-G69</f>
        <v>0.30245370370370367</v>
      </c>
      <c r="J69" s="43">
        <v>0.3</v>
      </c>
      <c r="K69" s="2">
        <f>I69-J69</f>
        <v>2.4537037037036802E-3</v>
      </c>
      <c r="L69" s="3"/>
      <c r="M69" s="4">
        <f>F69/I69</f>
        <v>0.12257002908311651</v>
      </c>
      <c r="N69" s="4">
        <f>I69/J69</f>
        <v>1.0081790123456789</v>
      </c>
    </row>
    <row r="70" spans="1:14" x14ac:dyDescent="0.3">
      <c r="A70" s="29">
        <v>45995</v>
      </c>
      <c r="B70" s="8">
        <f>YEAR(A70)</f>
        <v>2025</v>
      </c>
      <c r="C70" s="27" t="str">
        <f>TEXT(A70,"MMMM")</f>
        <v>dezembro</v>
      </c>
      <c r="D70" s="30" t="s">
        <v>65</v>
      </c>
      <c r="E70" s="30" t="s">
        <v>14</v>
      </c>
      <c r="F70" s="31">
        <v>3.8032407407407411E-2</v>
      </c>
      <c r="G70" s="31">
        <v>0.33509259259259261</v>
      </c>
      <c r="H70" s="31">
        <v>0.63372685185185185</v>
      </c>
      <c r="I70" s="43">
        <f>H70-G70</f>
        <v>0.29863425925925924</v>
      </c>
      <c r="J70" s="43">
        <v>0.3</v>
      </c>
      <c r="K70" s="2"/>
      <c r="L70" s="3">
        <f>J70-I70</f>
        <v>1.3657407407407507E-3</v>
      </c>
      <c r="M70" s="4">
        <f>F70/I70</f>
        <v>0.12735446864584143</v>
      </c>
      <c r="N70" s="4">
        <f>I70/J70</f>
        <v>0.99544753086419746</v>
      </c>
    </row>
    <row r="71" spans="1:14" x14ac:dyDescent="0.3">
      <c r="A71" s="29">
        <v>45995</v>
      </c>
      <c r="B71" s="8">
        <f>YEAR(A71)</f>
        <v>2025</v>
      </c>
      <c r="C71" s="27" t="str">
        <f>TEXT(A71,"MMMM")</f>
        <v>dezembro</v>
      </c>
      <c r="D71" s="30" t="s">
        <v>27</v>
      </c>
      <c r="E71" s="30" t="s">
        <v>17</v>
      </c>
      <c r="F71" s="31">
        <v>2.9421296296296296E-2</v>
      </c>
      <c r="G71" s="31">
        <v>0.33408564814814817</v>
      </c>
      <c r="H71" s="31">
        <v>0.5947337962962963</v>
      </c>
      <c r="I71" s="43">
        <f>H71-G71</f>
        <v>0.26064814814814813</v>
      </c>
      <c r="J71" s="43">
        <v>0.3</v>
      </c>
      <c r="K71" s="2"/>
      <c r="L71" s="3">
        <f>J71-I71</f>
        <v>3.935185185185186E-2</v>
      </c>
      <c r="M71" s="4">
        <f>F71/I71</f>
        <v>0.11287744227353465</v>
      </c>
      <c r="N71" s="4">
        <f>I71/J71</f>
        <v>0.86882716049382713</v>
      </c>
    </row>
    <row r="72" spans="1:14" x14ac:dyDescent="0.3">
      <c r="A72" s="29">
        <v>45995</v>
      </c>
      <c r="B72" s="8">
        <f>YEAR(A72)</f>
        <v>2025</v>
      </c>
      <c r="C72" s="27" t="str">
        <f>TEXT(A72,"MMMM")</f>
        <v>dezembro</v>
      </c>
      <c r="D72" s="30" t="s">
        <v>68</v>
      </c>
      <c r="E72" s="30" t="s">
        <v>34</v>
      </c>
      <c r="F72" s="31">
        <v>4.1956018518518517E-2</v>
      </c>
      <c r="G72" s="31">
        <v>0.45265046296296296</v>
      </c>
      <c r="H72" s="31">
        <v>0.75109953703703702</v>
      </c>
      <c r="I72" s="43">
        <f>H72-G72</f>
        <v>0.29844907407407406</v>
      </c>
      <c r="J72" s="43">
        <v>0.3</v>
      </c>
      <c r="K72" s="2"/>
      <c r="L72" s="3">
        <f>J72-I72</f>
        <v>1.5509259259259278E-3</v>
      </c>
      <c r="M72" s="4">
        <f>F72/I72</f>
        <v>0.14058015977662297</v>
      </c>
      <c r="N72" s="4">
        <f>I72/J72</f>
        <v>0.99483024691358024</v>
      </c>
    </row>
    <row r="73" spans="1:14" x14ac:dyDescent="0.3">
      <c r="A73" s="29">
        <v>45995</v>
      </c>
      <c r="B73" s="8">
        <f>YEAR(A73)</f>
        <v>2025</v>
      </c>
      <c r="C73" s="27" t="str">
        <f>TEXT(A73,"MMMM")</f>
        <v>dezembro</v>
      </c>
      <c r="D73" s="30" t="s">
        <v>32</v>
      </c>
      <c r="E73" s="30" t="s">
        <v>34</v>
      </c>
      <c r="F73" s="31">
        <v>4.8009259259259258E-2</v>
      </c>
      <c r="G73" s="31">
        <v>0.44655092592592593</v>
      </c>
      <c r="H73" s="31">
        <v>0.75055555555555553</v>
      </c>
      <c r="I73" s="43">
        <f>H73-G73</f>
        <v>0.3040046296296296</v>
      </c>
      <c r="J73" s="43">
        <v>0.3</v>
      </c>
      <c r="K73" s="2">
        <f>I73-J73</f>
        <v>4.004629629629608E-3</v>
      </c>
      <c r="L73" s="3"/>
      <c r="M73" s="4">
        <f>F73/I73</f>
        <v>0.15792278991852587</v>
      </c>
      <c r="N73" s="4">
        <f>I73/J73</f>
        <v>1.0133487654320987</v>
      </c>
    </row>
    <row r="74" spans="1:14" x14ac:dyDescent="0.3">
      <c r="A74" s="29">
        <v>45995</v>
      </c>
      <c r="B74" s="8">
        <f>YEAR(A74)</f>
        <v>2025</v>
      </c>
      <c r="C74" s="27" t="str">
        <f>TEXT(A74,"MMMM")</f>
        <v>dezembro</v>
      </c>
      <c r="D74" s="30" t="s">
        <v>30</v>
      </c>
      <c r="E74" s="30" t="s">
        <v>34</v>
      </c>
      <c r="F74" s="31">
        <v>4.2557870370370371E-2</v>
      </c>
      <c r="G74" s="31">
        <v>0.33381944444444445</v>
      </c>
      <c r="H74" s="31">
        <v>0.63402777777777775</v>
      </c>
      <c r="I74" s="43">
        <f>H74-G74</f>
        <v>0.3002083333333333</v>
      </c>
      <c r="J74" s="43">
        <v>0.3</v>
      </c>
      <c r="K74" s="2">
        <f>I74-J74</f>
        <v>2.0833333333331039E-4</v>
      </c>
      <c r="L74" s="3"/>
      <c r="M74" s="4">
        <f>F74/I74</f>
        <v>0.14176112267715324</v>
      </c>
      <c r="N74" s="4">
        <f>I74/J74</f>
        <v>1.0006944444444443</v>
      </c>
    </row>
    <row r="75" spans="1:14" x14ac:dyDescent="0.3">
      <c r="A75" s="29">
        <v>45995</v>
      </c>
      <c r="B75" s="8">
        <f>YEAR(A75)</f>
        <v>2025</v>
      </c>
      <c r="C75" s="27" t="str">
        <f>TEXT(A75,"MMMM")</f>
        <v>dezembro</v>
      </c>
      <c r="D75" s="30" t="s">
        <v>28</v>
      </c>
      <c r="E75" s="30" t="s">
        <v>14</v>
      </c>
      <c r="F75" s="31">
        <v>0</v>
      </c>
      <c r="G75" s="31">
        <v>0.34285879629629629</v>
      </c>
      <c r="H75" s="31">
        <v>0.64959490740740744</v>
      </c>
      <c r="I75" s="43">
        <f>H75-G75</f>
        <v>0.30673611111111115</v>
      </c>
      <c r="J75" s="43">
        <v>0.3</v>
      </c>
      <c r="K75" s="2">
        <f>I75-J75</f>
        <v>6.7361111111111649E-3</v>
      </c>
      <c r="L75" s="3"/>
      <c r="M75" s="4">
        <f>F75/I75</f>
        <v>0</v>
      </c>
      <c r="N75" s="4">
        <f>I75/J75</f>
        <v>1.0224537037037038</v>
      </c>
    </row>
    <row r="76" spans="1:14" x14ac:dyDescent="0.3">
      <c r="A76" s="29">
        <v>45995</v>
      </c>
      <c r="B76" s="8">
        <f>YEAR(A76)</f>
        <v>2025</v>
      </c>
      <c r="C76" s="27" t="str">
        <f>TEXT(A76,"MMMM")</f>
        <v>dezembro</v>
      </c>
      <c r="D76" s="30" t="s">
        <v>29</v>
      </c>
      <c r="E76" s="30" t="s">
        <v>14</v>
      </c>
      <c r="F76" s="31">
        <v>0</v>
      </c>
      <c r="G76" s="31">
        <v>0.33680555555555558</v>
      </c>
      <c r="H76" s="31">
        <v>0.63233796296296296</v>
      </c>
      <c r="I76" s="43">
        <f>H76-G76</f>
        <v>0.29553240740740738</v>
      </c>
      <c r="J76" s="43">
        <v>0.3</v>
      </c>
      <c r="K76" s="2"/>
      <c r="L76" s="3">
        <f>J76-I76</f>
        <v>4.4675925925926063E-3</v>
      </c>
      <c r="M76" s="4">
        <f>F76/I76</f>
        <v>0</v>
      </c>
      <c r="N76" s="4">
        <f>I76/J76</f>
        <v>0.98510802469135794</v>
      </c>
    </row>
    <row r="77" spans="1:14" x14ac:dyDescent="0.3">
      <c r="A77" s="29">
        <v>45996</v>
      </c>
      <c r="B77" s="8">
        <f>YEAR(A77)</f>
        <v>2025</v>
      </c>
      <c r="C77" s="27" t="str">
        <f>TEXT(A77,"MMMM")</f>
        <v>dezembro</v>
      </c>
      <c r="D77" s="30" t="s">
        <v>16</v>
      </c>
      <c r="E77" s="30" t="s">
        <v>34</v>
      </c>
      <c r="F77" s="31">
        <v>4.5127314814814815E-2</v>
      </c>
      <c r="G77" s="31">
        <v>0.33379629629629631</v>
      </c>
      <c r="H77" s="31">
        <v>0.63398148148148148</v>
      </c>
      <c r="I77" s="43">
        <f>H77-G77</f>
        <v>0.30018518518518517</v>
      </c>
      <c r="J77" s="43">
        <v>0.3</v>
      </c>
      <c r="K77" s="41">
        <f>I77-J77</f>
        <v>1.8518518518517713E-4</v>
      </c>
      <c r="L77" s="3"/>
      <c r="M77" s="4">
        <f>F77/I77</f>
        <v>0.15033158544108577</v>
      </c>
      <c r="N77" s="4">
        <f>I77/J77</f>
        <v>1.0006172839506173</v>
      </c>
    </row>
    <row r="78" spans="1:14" x14ac:dyDescent="0.3">
      <c r="A78" s="29">
        <v>45996</v>
      </c>
      <c r="B78" s="8">
        <f>YEAR(A78)</f>
        <v>2025</v>
      </c>
      <c r="C78" s="27" t="str">
        <f>TEXT(A78,"MMMM")</f>
        <v>dezembro</v>
      </c>
      <c r="D78" s="30" t="s">
        <v>18</v>
      </c>
      <c r="E78" s="30" t="s">
        <v>14</v>
      </c>
      <c r="F78" s="31">
        <v>0</v>
      </c>
      <c r="G78" s="31">
        <v>0.34234953703703702</v>
      </c>
      <c r="H78" s="31">
        <v>0.67546296296296293</v>
      </c>
      <c r="I78" s="43">
        <f>H78-G78</f>
        <v>0.33311342592592591</v>
      </c>
      <c r="J78" s="43">
        <v>0.3</v>
      </c>
      <c r="K78" s="2">
        <f>I78-J78</f>
        <v>3.3113425925925921E-2</v>
      </c>
      <c r="L78" s="3"/>
      <c r="M78" s="4">
        <f>F78/I78</f>
        <v>0</v>
      </c>
      <c r="N78" s="4">
        <f>I78/J78</f>
        <v>1.110378086419753</v>
      </c>
    </row>
    <row r="79" spans="1:14" x14ac:dyDescent="0.3">
      <c r="A79" s="29">
        <v>45996</v>
      </c>
      <c r="B79" s="8">
        <f>YEAR(A79)</f>
        <v>2025</v>
      </c>
      <c r="C79" s="27" t="str">
        <f>TEXT(A79,"MMMM")</f>
        <v>dezembro</v>
      </c>
      <c r="D79" s="30" t="s">
        <v>19</v>
      </c>
      <c r="E79" s="30" t="s">
        <v>17</v>
      </c>
      <c r="F79" s="31">
        <v>5.4768518518518522E-2</v>
      </c>
      <c r="G79" s="31">
        <v>0.33476851851851852</v>
      </c>
      <c r="H79" s="31">
        <v>0.6340393518518519</v>
      </c>
      <c r="I79" s="43">
        <f>H79-G79</f>
        <v>0.29927083333333337</v>
      </c>
      <c r="J79" s="43">
        <v>0.3</v>
      </c>
      <c r="K79" s="2"/>
      <c r="L79" s="3">
        <f>J79-I79</f>
        <v>7.2916666666661412E-4</v>
      </c>
      <c r="M79" s="4">
        <f>F79/I79</f>
        <v>0.18300653594771241</v>
      </c>
      <c r="N79" s="4">
        <f>I79/J79</f>
        <v>0.99756944444444462</v>
      </c>
    </row>
    <row r="80" spans="1:14" x14ac:dyDescent="0.3">
      <c r="A80" s="29">
        <v>45996</v>
      </c>
      <c r="B80" s="8">
        <f>YEAR(A80)</f>
        <v>2025</v>
      </c>
      <c r="C80" s="27" t="str">
        <f>TEXT(A80,"MMMM")</f>
        <v>dezembro</v>
      </c>
      <c r="D80" s="30" t="s">
        <v>20</v>
      </c>
      <c r="E80" s="30" t="s">
        <v>21</v>
      </c>
      <c r="F80" s="31">
        <v>4.3530092592592592E-2</v>
      </c>
      <c r="G80" s="31">
        <v>0.33422453703703703</v>
      </c>
      <c r="H80" s="31">
        <v>0.63376157407407407</v>
      </c>
      <c r="I80" s="43">
        <f>H80-G80</f>
        <v>0.29953703703703705</v>
      </c>
      <c r="J80" s="43">
        <v>0.3</v>
      </c>
      <c r="K80" s="2"/>
      <c r="L80" s="3">
        <f>J80-I80</f>
        <v>4.6296296296294281E-4</v>
      </c>
      <c r="M80" s="4">
        <f>F80/I80</f>
        <v>0.14532457496136011</v>
      </c>
      <c r="N80" s="4">
        <f>I80/J80</f>
        <v>0.99845679012345689</v>
      </c>
    </row>
    <row r="81" spans="1:14" x14ac:dyDescent="0.3">
      <c r="A81" s="29">
        <v>45996</v>
      </c>
      <c r="B81" s="8">
        <f>YEAR(A81)</f>
        <v>2025</v>
      </c>
      <c r="C81" s="27" t="str">
        <f>TEXT(A81,"MMMM")</f>
        <v>dezembro</v>
      </c>
      <c r="D81" s="30" t="s">
        <v>69</v>
      </c>
      <c r="E81" s="30" t="s">
        <v>17</v>
      </c>
      <c r="F81" s="31">
        <v>4.0335648148148148E-2</v>
      </c>
      <c r="G81" s="31">
        <v>0.33430555555555558</v>
      </c>
      <c r="H81" s="31">
        <v>0.63597222222222227</v>
      </c>
      <c r="I81" s="43">
        <f>H81-G81</f>
        <v>0.30166666666666669</v>
      </c>
      <c r="J81" s="43">
        <v>0.3</v>
      </c>
      <c r="K81" s="2">
        <f>I81-J81</f>
        <v>1.6666666666667052E-3</v>
      </c>
      <c r="L81" s="3"/>
      <c r="M81" s="4">
        <f>F81/I81</f>
        <v>0.13370933087783915</v>
      </c>
      <c r="N81" s="4">
        <f>I81/J81</f>
        <v>1.0055555555555558</v>
      </c>
    </row>
    <row r="82" spans="1:14" x14ac:dyDescent="0.3">
      <c r="A82" s="29">
        <v>45996</v>
      </c>
      <c r="B82" s="8">
        <f>YEAR(A82)</f>
        <v>2025</v>
      </c>
      <c r="C82" s="27" t="str">
        <f>TEXT(A82,"MMMM")</f>
        <v>dezembro</v>
      </c>
      <c r="D82" s="30" t="s">
        <v>22</v>
      </c>
      <c r="E82" s="30" t="s">
        <v>21</v>
      </c>
      <c r="F82" s="31">
        <v>4.0358796296296295E-2</v>
      </c>
      <c r="G82" s="31">
        <v>0.41660879629629627</v>
      </c>
      <c r="H82" s="31">
        <v>0.7502199074074074</v>
      </c>
      <c r="I82" s="43">
        <f>H82-G82</f>
        <v>0.33361111111111114</v>
      </c>
      <c r="J82" s="43">
        <v>0.3</v>
      </c>
      <c r="K82" s="2">
        <f>I82-J82</f>
        <v>3.3611111111111147E-2</v>
      </c>
      <c r="L82" s="3"/>
      <c r="M82" s="4">
        <f>F82/I82</f>
        <v>0.12097557590896474</v>
      </c>
      <c r="N82" s="4">
        <f>I82/J82</f>
        <v>1.1120370370370372</v>
      </c>
    </row>
    <row r="83" spans="1:14" x14ac:dyDescent="0.3">
      <c r="A83" s="29">
        <v>45996</v>
      </c>
      <c r="B83" s="8">
        <f>YEAR(A83)</f>
        <v>2025</v>
      </c>
      <c r="C83" s="27" t="str">
        <f>TEXT(A83,"MMMM")</f>
        <v>dezembro</v>
      </c>
      <c r="D83" s="30" t="s">
        <v>33</v>
      </c>
      <c r="E83" s="30" t="s">
        <v>34</v>
      </c>
      <c r="F83" s="31">
        <v>4.1712962962962966E-2</v>
      </c>
      <c r="G83" s="31">
        <v>0.33372685185185186</v>
      </c>
      <c r="H83" s="31">
        <v>0.63424768518518515</v>
      </c>
      <c r="I83" s="43">
        <f>H83-G83</f>
        <v>0.30052083333333329</v>
      </c>
      <c r="J83" s="43">
        <v>0.3</v>
      </c>
      <c r="K83" s="2">
        <f>I83-J83</f>
        <v>5.2083333333330373E-4</v>
      </c>
      <c r="L83" s="3"/>
      <c r="M83" s="4">
        <f>F83/I83</f>
        <v>0.13880223377623727</v>
      </c>
      <c r="N83" s="4">
        <f>I83/J83</f>
        <v>1.0017361111111109</v>
      </c>
    </row>
    <row r="84" spans="1:14" x14ac:dyDescent="0.3">
      <c r="A84" s="29">
        <v>45996</v>
      </c>
      <c r="B84" s="8">
        <f>YEAR(A84)</f>
        <v>2025</v>
      </c>
      <c r="C84" s="27" t="str">
        <f>TEXT(A84,"MMMM")</f>
        <v>dezembro</v>
      </c>
      <c r="D84" s="30" t="s">
        <v>23</v>
      </c>
      <c r="E84" s="30" t="s">
        <v>17</v>
      </c>
      <c r="F84" s="31">
        <v>5.2199074074074071E-2</v>
      </c>
      <c r="G84" s="31">
        <v>0.40084490740740741</v>
      </c>
      <c r="H84" s="31">
        <v>0.71027777777777779</v>
      </c>
      <c r="I84" s="43">
        <f>H84-G84</f>
        <v>0.30943287037037037</v>
      </c>
      <c r="J84" s="43">
        <v>0.3</v>
      </c>
      <c r="K84" s="2">
        <f>I84-J84</f>
        <v>9.4328703703703831E-3</v>
      </c>
      <c r="L84" s="3"/>
      <c r="M84" s="4">
        <f>F84/I84</f>
        <v>0.16869272489246306</v>
      </c>
      <c r="N84" s="4">
        <f>I84/J84</f>
        <v>1.0314429012345681</v>
      </c>
    </row>
    <row r="85" spans="1:14" x14ac:dyDescent="0.3">
      <c r="A85" s="29">
        <v>45996</v>
      </c>
      <c r="B85" s="8">
        <f>YEAR(A85)</f>
        <v>2025</v>
      </c>
      <c r="C85" s="27" t="str">
        <f>TEXT(A85,"MMMM")</f>
        <v>dezembro</v>
      </c>
      <c r="D85" s="30" t="s">
        <v>31</v>
      </c>
      <c r="E85" s="30" t="s">
        <v>21</v>
      </c>
      <c r="F85" s="31">
        <v>4.0231481481481479E-2</v>
      </c>
      <c r="G85" s="31">
        <v>0.42390046296296297</v>
      </c>
      <c r="H85" s="31">
        <v>0.75032407407407409</v>
      </c>
      <c r="I85" s="43">
        <f>H85-G85</f>
        <v>0.32642361111111112</v>
      </c>
      <c r="J85" s="43">
        <v>0.3</v>
      </c>
      <c r="K85" s="2">
        <f>I85-J85</f>
        <v>2.6423611111111134E-2</v>
      </c>
      <c r="L85" s="3"/>
      <c r="M85" s="4">
        <f>F85/I85</f>
        <v>0.12324929971988795</v>
      </c>
      <c r="N85" s="4">
        <f>I85/J85</f>
        <v>1.0880787037037039</v>
      </c>
    </row>
    <row r="86" spans="1:14" x14ac:dyDescent="0.3">
      <c r="A86" s="29">
        <v>45996</v>
      </c>
      <c r="B86" s="8">
        <f>YEAR(A86)</f>
        <v>2025</v>
      </c>
      <c r="C86" s="27" t="str">
        <f>TEXT(A86,"MMMM")</f>
        <v>dezembro</v>
      </c>
      <c r="D86" s="30" t="s">
        <v>25</v>
      </c>
      <c r="E86" s="30" t="s">
        <v>21</v>
      </c>
      <c r="F86" s="31">
        <v>3.9398148148148147E-2</v>
      </c>
      <c r="G86" s="31">
        <v>0.33333333333333331</v>
      </c>
      <c r="H86" s="31">
        <v>0.60513888888888889</v>
      </c>
      <c r="I86" s="43">
        <f>H86-G86</f>
        <v>0.27180555555555558</v>
      </c>
      <c r="J86" s="43">
        <v>0.3</v>
      </c>
      <c r="K86" s="2"/>
      <c r="L86" s="3">
        <f>J86-I86</f>
        <v>2.8194444444444411E-2</v>
      </c>
      <c r="M86" s="4">
        <f>F86/I86</f>
        <v>0.14494975302333502</v>
      </c>
      <c r="N86" s="4">
        <f>I86/J86</f>
        <v>0.90601851851851867</v>
      </c>
    </row>
    <row r="87" spans="1:14" x14ac:dyDescent="0.3">
      <c r="A87" s="29">
        <v>45996</v>
      </c>
      <c r="B87" s="8">
        <f>YEAR(A87)</f>
        <v>2025</v>
      </c>
      <c r="C87" s="27" t="str">
        <f>TEXT(A87,"MMMM")</f>
        <v>dezembro</v>
      </c>
      <c r="D87" s="30" t="s">
        <v>26</v>
      </c>
      <c r="E87" s="30" t="s">
        <v>15</v>
      </c>
      <c r="F87" s="31">
        <v>3.3113425925925928E-2</v>
      </c>
      <c r="G87" s="31">
        <v>0.33334490740740741</v>
      </c>
      <c r="H87" s="31">
        <v>0.6353240740740741</v>
      </c>
      <c r="I87" s="43">
        <f>H87-G87</f>
        <v>0.30197916666666669</v>
      </c>
      <c r="J87" s="43">
        <v>0.3</v>
      </c>
      <c r="K87" s="2">
        <f>I87-J87</f>
        <v>1.9791666666666985E-3</v>
      </c>
      <c r="L87" s="3"/>
      <c r="M87" s="4">
        <f>F87/I87</f>
        <v>0.10965467019278678</v>
      </c>
      <c r="N87" s="4">
        <f>I87/J87</f>
        <v>1.0065972222222224</v>
      </c>
    </row>
    <row r="88" spans="1:14" x14ac:dyDescent="0.3">
      <c r="A88" s="29">
        <v>45996</v>
      </c>
      <c r="B88" s="8">
        <f>YEAR(A88)</f>
        <v>2025</v>
      </c>
      <c r="C88" s="27" t="str">
        <f>TEXT(A88,"MMMM")</f>
        <v>dezembro</v>
      </c>
      <c r="D88" s="30" t="s">
        <v>65</v>
      </c>
      <c r="E88" s="30" t="s">
        <v>14</v>
      </c>
      <c r="F88" s="31">
        <v>4.2013888888888892E-2</v>
      </c>
      <c r="G88" s="31">
        <v>0.33380787037037035</v>
      </c>
      <c r="H88" s="31">
        <v>0.63380787037037034</v>
      </c>
      <c r="I88" s="43">
        <f>H88-G88</f>
        <v>0.3</v>
      </c>
      <c r="J88" s="43">
        <v>0.3</v>
      </c>
      <c r="K88" s="2">
        <f>I88-J88</f>
        <v>0</v>
      </c>
      <c r="L88" s="3">
        <f>J88-I88</f>
        <v>0</v>
      </c>
      <c r="M88" s="4">
        <f>F88/I88</f>
        <v>0.14004629629629631</v>
      </c>
      <c r="N88" s="4">
        <f>I88/J88</f>
        <v>1</v>
      </c>
    </row>
    <row r="89" spans="1:14" x14ac:dyDescent="0.3">
      <c r="A89" s="29">
        <v>45996</v>
      </c>
      <c r="B89" s="8">
        <f>YEAR(A89)</f>
        <v>2025</v>
      </c>
      <c r="C89" s="27" t="str">
        <f>TEXT(A89,"MMMM")</f>
        <v>dezembro</v>
      </c>
      <c r="D89" s="30" t="s">
        <v>27</v>
      </c>
      <c r="E89" s="30" t="s">
        <v>17</v>
      </c>
      <c r="F89" s="31">
        <v>3.5752314814814813E-2</v>
      </c>
      <c r="G89" s="31">
        <v>0.33401620370370372</v>
      </c>
      <c r="H89" s="31">
        <v>0.63563657407407403</v>
      </c>
      <c r="I89" s="43">
        <f>H89-G89</f>
        <v>0.30162037037037032</v>
      </c>
      <c r="J89" s="43">
        <v>0.3</v>
      </c>
      <c r="K89" s="2">
        <f>I89-J89</f>
        <v>1.6203703703703276E-3</v>
      </c>
      <c r="L89" s="3"/>
      <c r="M89" s="4">
        <f>F89/I89</f>
        <v>0.11853415195702227</v>
      </c>
      <c r="N89" s="4">
        <f>I89/J89</f>
        <v>1.0054012345679011</v>
      </c>
    </row>
    <row r="90" spans="1:14" x14ac:dyDescent="0.3">
      <c r="A90" s="29">
        <v>45996</v>
      </c>
      <c r="B90" s="8">
        <f>YEAR(A90)</f>
        <v>2025</v>
      </c>
      <c r="C90" s="27" t="str">
        <f>TEXT(A90,"MMMM")</f>
        <v>dezembro</v>
      </c>
      <c r="D90" s="30" t="s">
        <v>68</v>
      </c>
      <c r="E90" s="30" t="s">
        <v>34</v>
      </c>
      <c r="F90" s="31">
        <v>4.8576388888888891E-2</v>
      </c>
      <c r="G90" s="31">
        <v>0.44928240740740738</v>
      </c>
      <c r="H90" s="31">
        <v>0.75039351851851854</v>
      </c>
      <c r="I90" s="43">
        <f>H90-G90</f>
        <v>0.30111111111111116</v>
      </c>
      <c r="J90" s="43">
        <v>0.3</v>
      </c>
      <c r="K90" s="2">
        <f>I90-J90</f>
        <v>1.1111111111111738E-3</v>
      </c>
      <c r="L90" s="3"/>
      <c r="M90" s="4">
        <f>F90/I90</f>
        <v>0.16132380073800737</v>
      </c>
      <c r="N90" s="4">
        <f>I90/J90</f>
        <v>1.003703703703704</v>
      </c>
    </row>
    <row r="91" spans="1:14" x14ac:dyDescent="0.3">
      <c r="A91" s="29">
        <v>45996</v>
      </c>
      <c r="B91" s="8">
        <f>YEAR(A91)</f>
        <v>2025</v>
      </c>
      <c r="C91" s="27" t="str">
        <f>TEXT(A91,"MMMM")</f>
        <v>dezembro</v>
      </c>
      <c r="D91" s="30" t="s">
        <v>30</v>
      </c>
      <c r="E91" s="30" t="s">
        <v>34</v>
      </c>
      <c r="F91" s="31">
        <v>4.2870370370370371E-2</v>
      </c>
      <c r="G91" s="31">
        <v>0.33380787037037035</v>
      </c>
      <c r="H91" s="31">
        <v>0.63460648148148147</v>
      </c>
      <c r="I91" s="43">
        <f>H91-G91</f>
        <v>0.30079861111111111</v>
      </c>
      <c r="J91" s="43">
        <v>0.3</v>
      </c>
      <c r="K91" s="2">
        <f>I91-J91</f>
        <v>7.9861111111112493E-4</v>
      </c>
      <c r="L91" s="3"/>
      <c r="M91" s="4">
        <f>F91/I91</f>
        <v>0.14252183616145292</v>
      </c>
      <c r="N91" s="4">
        <f>I91/J91</f>
        <v>1.0026620370370372</v>
      </c>
    </row>
    <row r="92" spans="1:14" x14ac:dyDescent="0.3">
      <c r="A92" s="29">
        <v>45996</v>
      </c>
      <c r="B92" s="8">
        <f>YEAR(A92)</f>
        <v>2025</v>
      </c>
      <c r="C92" s="27" t="str">
        <f>TEXT(A92,"MMMM")</f>
        <v>dezembro</v>
      </c>
      <c r="D92" s="30" t="s">
        <v>28</v>
      </c>
      <c r="E92" s="30" t="s">
        <v>14</v>
      </c>
      <c r="F92" s="31">
        <v>0</v>
      </c>
      <c r="G92" s="31">
        <v>0.3463310185185185</v>
      </c>
      <c r="H92" s="31">
        <v>0.66008101851851853</v>
      </c>
      <c r="I92" s="43">
        <f>H92-G92</f>
        <v>0.31375000000000003</v>
      </c>
      <c r="J92" s="43">
        <v>0.3</v>
      </c>
      <c r="K92" s="2">
        <f>I92-J92</f>
        <v>1.375000000000004E-2</v>
      </c>
      <c r="L92" s="3"/>
      <c r="M92" s="4">
        <f>F92/I92</f>
        <v>0</v>
      </c>
      <c r="N92" s="4">
        <f>I92/J92</f>
        <v>1.0458333333333334</v>
      </c>
    </row>
    <row r="93" spans="1:14" x14ac:dyDescent="0.3">
      <c r="A93" s="29">
        <v>45999</v>
      </c>
      <c r="B93" s="8">
        <f>YEAR(A93)</f>
        <v>2025</v>
      </c>
      <c r="C93" s="27" t="str">
        <f>TEXT(A93,"MMMM")</f>
        <v>dezembro</v>
      </c>
      <c r="D93" s="30" t="s">
        <v>16</v>
      </c>
      <c r="E93" s="30" t="s">
        <v>34</v>
      </c>
      <c r="F93" s="31">
        <v>3.7349537037037035E-2</v>
      </c>
      <c r="G93" s="31">
        <v>0.33430555555555558</v>
      </c>
      <c r="H93" s="31">
        <v>0.63476851851851857</v>
      </c>
      <c r="I93" s="43">
        <f>H93-G93</f>
        <v>0.30046296296296299</v>
      </c>
      <c r="J93" s="43">
        <v>0.3</v>
      </c>
      <c r="K93" s="41">
        <f>I93-J93</f>
        <v>4.6296296296299833E-4</v>
      </c>
      <c r="L93" s="3"/>
      <c r="M93" s="4">
        <f>F93/I93</f>
        <v>0.124306625577812</v>
      </c>
      <c r="N93" s="4">
        <f>I93/J93</f>
        <v>1.0015432098765433</v>
      </c>
    </row>
    <row r="94" spans="1:14" x14ac:dyDescent="0.3">
      <c r="A94" s="29">
        <v>45999</v>
      </c>
      <c r="B94" s="8">
        <f>YEAR(A94)</f>
        <v>2025</v>
      </c>
      <c r="C94" s="27" t="str">
        <f>TEXT(A94,"MMMM")</f>
        <v>dezembro</v>
      </c>
      <c r="D94" s="30" t="s">
        <v>47</v>
      </c>
      <c r="E94" s="30" t="s">
        <v>17</v>
      </c>
      <c r="F94" s="31">
        <v>3.8796296296296294E-2</v>
      </c>
      <c r="G94" s="31">
        <v>0.52542824074074079</v>
      </c>
      <c r="H94" s="31">
        <v>0.75045138888888885</v>
      </c>
      <c r="I94" s="43">
        <f>H94-G94</f>
        <v>0.22502314814814806</v>
      </c>
      <c r="J94" s="43">
        <v>0.25</v>
      </c>
      <c r="K94" s="2"/>
      <c r="L94" s="3">
        <f>J94-I94</f>
        <v>2.4976851851851944E-2</v>
      </c>
      <c r="M94" s="4">
        <f>F94/I94</f>
        <v>0.17241024585947953</v>
      </c>
      <c r="N94" s="4">
        <f>I94/J94</f>
        <v>0.90009259259259222</v>
      </c>
    </row>
    <row r="95" spans="1:14" x14ac:dyDescent="0.3">
      <c r="A95" s="29">
        <v>45999</v>
      </c>
      <c r="B95" s="8">
        <f>YEAR(A95)</f>
        <v>2025</v>
      </c>
      <c r="C95" s="27" t="str">
        <f>TEXT(A95,"MMMM")</f>
        <v>dezembro</v>
      </c>
      <c r="D95" s="30" t="s">
        <v>18</v>
      </c>
      <c r="E95" s="30" t="s">
        <v>14</v>
      </c>
      <c r="F95" s="31">
        <v>0</v>
      </c>
      <c r="G95" s="31">
        <v>0.33814814814814814</v>
      </c>
      <c r="H95" s="31">
        <v>0.65749999999999997</v>
      </c>
      <c r="I95" s="43">
        <f>H95-G95</f>
        <v>0.31935185185185183</v>
      </c>
      <c r="J95" s="43">
        <v>0.3</v>
      </c>
      <c r="K95" s="2">
        <f>I95-J95</f>
        <v>1.9351851851851842E-2</v>
      </c>
      <c r="L95" s="3"/>
      <c r="M95" s="4">
        <f>F95/I95</f>
        <v>0</v>
      </c>
      <c r="N95" s="4">
        <f>I95/J95</f>
        <v>1.0645061728395062</v>
      </c>
    </row>
    <row r="96" spans="1:14" x14ac:dyDescent="0.3">
      <c r="A96" s="29">
        <v>45999</v>
      </c>
      <c r="B96" s="8">
        <f>YEAR(A96)</f>
        <v>2025</v>
      </c>
      <c r="C96" s="27" t="str">
        <f>TEXT(A96,"MMMM")</f>
        <v>dezembro</v>
      </c>
      <c r="D96" s="30" t="s">
        <v>19</v>
      </c>
      <c r="E96" s="30" t="s">
        <v>17</v>
      </c>
      <c r="F96" s="31">
        <v>4.7743055555555552E-2</v>
      </c>
      <c r="G96" s="31">
        <v>0.33613425925925927</v>
      </c>
      <c r="H96" s="31">
        <v>0.66842592592592598</v>
      </c>
      <c r="I96" s="43">
        <f>H96-G96</f>
        <v>0.33229166666666671</v>
      </c>
      <c r="J96" s="43">
        <v>0.3</v>
      </c>
      <c r="K96" s="2">
        <f>I96-J96</f>
        <v>3.2291666666666718E-2</v>
      </c>
      <c r="L96" s="3"/>
      <c r="M96" s="4">
        <f>F96/I96</f>
        <v>0.14367816091954019</v>
      </c>
      <c r="N96" s="4">
        <f>I96/J96</f>
        <v>1.1076388888888891</v>
      </c>
    </row>
    <row r="97" spans="1:14" x14ac:dyDescent="0.3">
      <c r="A97" s="29">
        <v>45999</v>
      </c>
      <c r="B97" s="8">
        <f>YEAR(A97)</f>
        <v>2025</v>
      </c>
      <c r="C97" s="27" t="str">
        <f>TEXT(A97,"MMMM")</f>
        <v>dezembro</v>
      </c>
      <c r="D97" s="30" t="s">
        <v>20</v>
      </c>
      <c r="E97" s="30" t="s">
        <v>21</v>
      </c>
      <c r="F97" s="31">
        <v>4.6076388888888889E-2</v>
      </c>
      <c r="G97" s="31">
        <v>0.33621527777777777</v>
      </c>
      <c r="H97" s="31">
        <v>0.63393518518518521</v>
      </c>
      <c r="I97" s="43">
        <f>H97-G97</f>
        <v>0.29771990740740745</v>
      </c>
      <c r="J97" s="43">
        <v>0.3</v>
      </c>
      <c r="K97" s="2"/>
      <c r="L97" s="3">
        <f>J97-I97</f>
        <v>2.2800925925925419E-3</v>
      </c>
      <c r="M97" s="4">
        <f>F97/I97</f>
        <v>0.15476421879252028</v>
      </c>
      <c r="N97" s="4">
        <f>I97/J97</f>
        <v>0.99239969135802486</v>
      </c>
    </row>
    <row r="98" spans="1:14" x14ac:dyDescent="0.3">
      <c r="A98" s="29">
        <v>45999</v>
      </c>
      <c r="B98" s="8">
        <f>YEAR(A98)</f>
        <v>2025</v>
      </c>
      <c r="C98" s="27" t="str">
        <f>TEXT(A98,"MMMM")</f>
        <v>dezembro</v>
      </c>
      <c r="D98" s="30" t="s">
        <v>69</v>
      </c>
      <c r="E98" s="30" t="s">
        <v>17</v>
      </c>
      <c r="F98" s="31">
        <v>3.1446759259259258E-2</v>
      </c>
      <c r="G98" s="31">
        <v>0.39204861111111111</v>
      </c>
      <c r="H98" s="31">
        <v>0.65442129629629631</v>
      </c>
      <c r="I98" s="43">
        <f>H98-G98</f>
        <v>0.26237268518518519</v>
      </c>
      <c r="J98" s="43">
        <v>0.3</v>
      </c>
      <c r="K98" s="2"/>
      <c r="L98" s="3">
        <f>J98-I98</f>
        <v>3.7627314814814794E-2</v>
      </c>
      <c r="M98" s="4">
        <f>F98/I98</f>
        <v>0.11985530901230755</v>
      </c>
      <c r="N98" s="4">
        <f>I98/J98</f>
        <v>0.87457561728395072</v>
      </c>
    </row>
    <row r="99" spans="1:14" x14ac:dyDescent="0.3">
      <c r="A99" s="29">
        <v>45999</v>
      </c>
      <c r="B99" s="8">
        <f>YEAR(A99)</f>
        <v>2025</v>
      </c>
      <c r="C99" s="27" t="str">
        <f>TEXT(A99,"MMMM")</f>
        <v>dezembro</v>
      </c>
      <c r="D99" s="30" t="s">
        <v>22</v>
      </c>
      <c r="E99" s="30" t="s">
        <v>21</v>
      </c>
      <c r="F99" s="31">
        <v>3.4548611111111113E-2</v>
      </c>
      <c r="G99" s="31">
        <v>0.44520833333333332</v>
      </c>
      <c r="H99" s="31">
        <v>0.75121527777777775</v>
      </c>
      <c r="I99" s="43">
        <f>H99-G99</f>
        <v>0.30600694444444443</v>
      </c>
      <c r="J99" s="43">
        <v>0.3</v>
      </c>
      <c r="K99" s="2">
        <f>I99-J99</f>
        <v>6.0069444444444398E-3</v>
      </c>
      <c r="L99" s="3"/>
      <c r="M99" s="4">
        <f>F99/I99</f>
        <v>0.11290139566549418</v>
      </c>
      <c r="N99" s="4">
        <f>I99/J99</f>
        <v>1.0200231481481481</v>
      </c>
    </row>
    <row r="100" spans="1:14" x14ac:dyDescent="0.3">
      <c r="A100" s="29">
        <v>45999</v>
      </c>
      <c r="B100" s="8">
        <f>YEAR(A100)</f>
        <v>2025</v>
      </c>
      <c r="C100" s="27" t="str">
        <f>TEXT(A100,"MMMM")</f>
        <v>dezembro</v>
      </c>
      <c r="D100" s="30" t="s">
        <v>33</v>
      </c>
      <c r="E100" s="30" t="s">
        <v>34</v>
      </c>
      <c r="F100" s="31">
        <v>3.5254629629629629E-2</v>
      </c>
      <c r="G100" s="31">
        <v>0.33372685185185186</v>
      </c>
      <c r="H100" s="31">
        <v>0.63415509259259262</v>
      </c>
      <c r="I100" s="43">
        <f>H100-G100</f>
        <v>0.30042824074074076</v>
      </c>
      <c r="J100" s="43">
        <v>0.3</v>
      </c>
      <c r="K100" s="2">
        <f>I100-J100</f>
        <v>4.2824074074077068E-4</v>
      </c>
      <c r="L100" s="3"/>
      <c r="M100" s="4">
        <f>F100/I100</f>
        <v>0.11734792156258426</v>
      </c>
      <c r="N100" s="4">
        <f>I100/J100</f>
        <v>1.0014274691358025</v>
      </c>
    </row>
    <row r="101" spans="1:14" x14ac:dyDescent="0.3">
      <c r="A101" s="29">
        <v>45999</v>
      </c>
      <c r="B101" s="8">
        <f>YEAR(A101)</f>
        <v>2025</v>
      </c>
      <c r="C101" s="27" t="str">
        <f>TEXT(A101,"MMMM")</f>
        <v>dezembro</v>
      </c>
      <c r="D101" s="30" t="s">
        <v>23</v>
      </c>
      <c r="E101" s="30" t="s">
        <v>17</v>
      </c>
      <c r="F101" s="31">
        <v>6.5578703703703708E-2</v>
      </c>
      <c r="G101" s="31">
        <v>0.46708333333333335</v>
      </c>
      <c r="H101" s="31">
        <v>0.75104166666666672</v>
      </c>
      <c r="I101" s="43">
        <f>H101-G101</f>
        <v>0.28395833333333337</v>
      </c>
      <c r="J101" s="43">
        <v>0.3</v>
      </c>
      <c r="K101" s="2"/>
      <c r="L101" s="3">
        <f>J101-I101</f>
        <v>1.6041666666666621E-2</v>
      </c>
      <c r="M101" s="4">
        <f>F101/I101</f>
        <v>0.2309448112823021</v>
      </c>
      <c r="N101" s="4">
        <f>I101/J101</f>
        <v>0.94652777777777797</v>
      </c>
    </row>
    <row r="102" spans="1:14" x14ac:dyDescent="0.3">
      <c r="A102" s="29">
        <v>45999</v>
      </c>
      <c r="B102" s="8">
        <f>YEAR(A102)</f>
        <v>2025</v>
      </c>
      <c r="C102" s="27" t="str">
        <f>TEXT(A102,"MMMM")</f>
        <v>dezembro</v>
      </c>
      <c r="D102" s="30" t="s">
        <v>31</v>
      </c>
      <c r="E102" s="30" t="s">
        <v>21</v>
      </c>
      <c r="F102" s="31">
        <v>4.5208333333333336E-2</v>
      </c>
      <c r="G102" s="31">
        <v>0.44752314814814814</v>
      </c>
      <c r="H102" s="31">
        <v>0.75027777777777782</v>
      </c>
      <c r="I102" s="43">
        <f>H102-G102</f>
        <v>0.30275462962962968</v>
      </c>
      <c r="J102" s="43">
        <v>0.3</v>
      </c>
      <c r="K102" s="2">
        <f>I102-J102</f>
        <v>2.7546296296296902E-3</v>
      </c>
      <c r="L102" s="3"/>
      <c r="M102" s="4">
        <f>F102/I102</f>
        <v>0.14932334276320819</v>
      </c>
      <c r="N102" s="4">
        <f>I102/J102</f>
        <v>1.0091820987654323</v>
      </c>
    </row>
    <row r="103" spans="1:14" x14ac:dyDescent="0.3">
      <c r="A103" s="29">
        <v>45999</v>
      </c>
      <c r="B103" s="8">
        <f>YEAR(A103)</f>
        <v>2025</v>
      </c>
      <c r="C103" s="27" t="str">
        <f>TEXT(A103,"MMMM")</f>
        <v>dezembro</v>
      </c>
      <c r="D103" s="30" t="s">
        <v>25</v>
      </c>
      <c r="E103" s="30" t="s">
        <v>21</v>
      </c>
      <c r="F103" s="31">
        <v>4.9699074074074076E-2</v>
      </c>
      <c r="G103" s="31">
        <v>0.33423611111111112</v>
      </c>
      <c r="H103" s="31">
        <v>0.6542824074074074</v>
      </c>
      <c r="I103" s="43">
        <f>H103-G103</f>
        <v>0.32004629629629627</v>
      </c>
      <c r="J103" s="43">
        <v>0.3</v>
      </c>
      <c r="K103" s="2">
        <f>I103-J103</f>
        <v>2.0046296296296284E-2</v>
      </c>
      <c r="L103" s="3"/>
      <c r="M103" s="4">
        <f>F103/I103</f>
        <v>0.15528714017069292</v>
      </c>
      <c r="N103" s="4">
        <f>I103/J103</f>
        <v>1.0668209876543209</v>
      </c>
    </row>
    <row r="104" spans="1:14" x14ac:dyDescent="0.3">
      <c r="A104" s="29">
        <v>45999</v>
      </c>
      <c r="B104" s="8">
        <f>YEAR(A104)</f>
        <v>2025</v>
      </c>
      <c r="C104" s="27" t="str">
        <f>TEXT(A104,"MMMM")</f>
        <v>dezembro</v>
      </c>
      <c r="D104" s="30" t="s">
        <v>26</v>
      </c>
      <c r="E104" s="30" t="s">
        <v>15</v>
      </c>
      <c r="F104" s="31">
        <v>3.3530092592592591E-2</v>
      </c>
      <c r="G104" s="31">
        <v>0.33340277777777777</v>
      </c>
      <c r="H104" s="31">
        <v>0.67934027777777772</v>
      </c>
      <c r="I104" s="43">
        <f>H104-G104</f>
        <v>0.34593749999999995</v>
      </c>
      <c r="J104" s="43">
        <v>0.3</v>
      </c>
      <c r="K104" s="2">
        <f>I104-J104</f>
        <v>4.5937499999999964E-2</v>
      </c>
      <c r="L104" s="3"/>
      <c r="M104" s="4">
        <f>F104/I104</f>
        <v>9.6925290240556738E-2</v>
      </c>
      <c r="N104" s="4">
        <f>I104/J104</f>
        <v>1.153125</v>
      </c>
    </row>
    <row r="105" spans="1:14" x14ac:dyDescent="0.3">
      <c r="A105" s="29">
        <v>45999</v>
      </c>
      <c r="B105" s="8">
        <f>YEAR(A105)</f>
        <v>2025</v>
      </c>
      <c r="C105" s="27" t="str">
        <f>TEXT(A105,"MMMM")</f>
        <v>dezembro</v>
      </c>
      <c r="D105" s="30" t="s">
        <v>65</v>
      </c>
      <c r="E105" s="30" t="s">
        <v>14</v>
      </c>
      <c r="F105" s="31">
        <v>4.3819444444444446E-2</v>
      </c>
      <c r="G105" s="31">
        <v>0.33369212962962963</v>
      </c>
      <c r="H105" s="31">
        <v>0.63430555555555557</v>
      </c>
      <c r="I105" s="43">
        <f>H105-G105</f>
        <v>0.30061342592592594</v>
      </c>
      <c r="J105" s="43">
        <v>0.3</v>
      </c>
      <c r="K105" s="2">
        <f>I105-J105</f>
        <v>6.134259259259478E-4</v>
      </c>
      <c r="L105" s="3"/>
      <c r="M105" s="4">
        <f>F105/I105</f>
        <v>0.14576675778693257</v>
      </c>
      <c r="N105" s="4">
        <f>I105/J105</f>
        <v>1.0020447530864198</v>
      </c>
    </row>
    <row r="106" spans="1:14" x14ac:dyDescent="0.3">
      <c r="A106" s="29">
        <v>45999</v>
      </c>
      <c r="B106" s="8">
        <f>YEAR(A106)</f>
        <v>2025</v>
      </c>
      <c r="C106" s="27" t="str">
        <f>TEXT(A106,"MMMM")</f>
        <v>dezembro</v>
      </c>
      <c r="D106" s="30" t="s">
        <v>27</v>
      </c>
      <c r="E106" s="30" t="s">
        <v>17</v>
      </c>
      <c r="F106" s="31">
        <v>3.9525462962962964E-2</v>
      </c>
      <c r="G106" s="31">
        <v>0.33361111111111114</v>
      </c>
      <c r="H106" s="31">
        <v>0.63423611111111111</v>
      </c>
      <c r="I106" s="43">
        <f>H106-G106</f>
        <v>0.30062499999999998</v>
      </c>
      <c r="J106" s="43">
        <v>0.3</v>
      </c>
      <c r="K106" s="2">
        <f>I106-J106</f>
        <v>6.2499999999998668E-4</v>
      </c>
      <c r="L106" s="3"/>
      <c r="M106" s="4">
        <f>F106/I106</f>
        <v>0.1314776314776315</v>
      </c>
      <c r="N106" s="4">
        <f>I106/J106</f>
        <v>1.0020833333333332</v>
      </c>
    </row>
    <row r="107" spans="1:14" x14ac:dyDescent="0.3">
      <c r="A107" s="29">
        <v>45999</v>
      </c>
      <c r="B107" s="8">
        <f>YEAR(A107)</f>
        <v>2025</v>
      </c>
      <c r="C107" s="27" t="str">
        <f>TEXT(A107,"MMMM")</f>
        <v>dezembro</v>
      </c>
      <c r="D107" s="30" t="s">
        <v>68</v>
      </c>
      <c r="E107" s="30" t="s">
        <v>34</v>
      </c>
      <c r="F107" s="31">
        <v>3.8854166666666669E-2</v>
      </c>
      <c r="G107" s="31">
        <v>0.45131944444444444</v>
      </c>
      <c r="H107" s="31">
        <v>0.75017361111111114</v>
      </c>
      <c r="I107" s="43">
        <f>H107-G107</f>
        <v>0.2988541666666667</v>
      </c>
      <c r="J107" s="43">
        <v>0.3</v>
      </c>
      <c r="K107" s="2"/>
      <c r="L107" s="3">
        <f>J107-I107</f>
        <v>1.1458333333332904E-3</v>
      </c>
      <c r="M107" s="4">
        <f>F107/I107</f>
        <v>0.13001045660508886</v>
      </c>
      <c r="N107" s="4">
        <f>I107/J107</f>
        <v>0.99618055555555574</v>
      </c>
    </row>
    <row r="108" spans="1:14" x14ac:dyDescent="0.3">
      <c r="A108" s="29">
        <v>45999</v>
      </c>
      <c r="B108" s="8">
        <f>YEAR(A108)</f>
        <v>2025</v>
      </c>
      <c r="C108" s="27" t="str">
        <f>TEXT(A108,"MMMM")</f>
        <v>dezembro</v>
      </c>
      <c r="D108" s="30" t="s">
        <v>32</v>
      </c>
      <c r="E108" s="30" t="s">
        <v>34</v>
      </c>
      <c r="F108" s="31">
        <v>4.1412037037037039E-2</v>
      </c>
      <c r="G108" s="31">
        <v>0.41149305555555554</v>
      </c>
      <c r="H108" s="31">
        <v>0.75092592592592589</v>
      </c>
      <c r="I108" s="43">
        <f>H108-G108</f>
        <v>0.33943287037037034</v>
      </c>
      <c r="J108" s="43">
        <v>0.3</v>
      </c>
      <c r="K108" s="2">
        <f>I108-J108</f>
        <v>3.9432870370370354E-2</v>
      </c>
      <c r="L108" s="3"/>
      <c r="M108" s="4">
        <f>F108/I108</f>
        <v>0.12200361441674909</v>
      </c>
      <c r="N108" s="4">
        <f>I108/J108</f>
        <v>1.1314429012345679</v>
      </c>
    </row>
    <row r="109" spans="1:14" x14ac:dyDescent="0.3">
      <c r="A109" s="29">
        <v>45999</v>
      </c>
      <c r="B109" s="8">
        <f>YEAR(A109)</f>
        <v>2025</v>
      </c>
      <c r="C109" s="27" t="str">
        <f>TEXT(A109,"MMMM")</f>
        <v>dezembro</v>
      </c>
      <c r="D109" s="30" t="s">
        <v>30</v>
      </c>
      <c r="E109" s="30" t="s">
        <v>34</v>
      </c>
      <c r="F109" s="31">
        <v>5.0358796296296297E-2</v>
      </c>
      <c r="G109" s="31">
        <v>0.33344907407407409</v>
      </c>
      <c r="H109" s="31">
        <v>0.66981481481481486</v>
      </c>
      <c r="I109" s="43">
        <f>H109-G109</f>
        <v>0.33636574074074077</v>
      </c>
      <c r="J109" s="43">
        <v>0.3</v>
      </c>
      <c r="K109" s="2">
        <f>I109-J109</f>
        <v>3.6365740740740782E-2</v>
      </c>
      <c r="L109" s="3"/>
      <c r="M109" s="4">
        <f>F109/I109</f>
        <v>0.14971440368866559</v>
      </c>
      <c r="N109" s="4">
        <f>I109/J109</f>
        <v>1.1212191358024692</v>
      </c>
    </row>
    <row r="110" spans="1:14" x14ac:dyDescent="0.3">
      <c r="A110" s="29">
        <v>45999</v>
      </c>
      <c r="B110" s="8">
        <f>YEAR(A110)</f>
        <v>2025</v>
      </c>
      <c r="C110" s="27" t="str">
        <f>TEXT(A110,"MMMM")</f>
        <v>dezembro</v>
      </c>
      <c r="D110" s="30" t="s">
        <v>28</v>
      </c>
      <c r="E110" s="30" t="s">
        <v>14</v>
      </c>
      <c r="F110" s="31">
        <v>0</v>
      </c>
      <c r="G110" s="31">
        <v>0.34712962962962962</v>
      </c>
      <c r="H110" s="31">
        <v>0.65302083333333338</v>
      </c>
      <c r="I110" s="43">
        <f>H110-G110</f>
        <v>0.30589120370370376</v>
      </c>
      <c r="J110" s="43">
        <v>0.3</v>
      </c>
      <c r="K110" s="2">
        <f>I110-J110</f>
        <v>5.8912037037037734E-3</v>
      </c>
      <c r="L110" s="3"/>
      <c r="M110" s="4">
        <f>F110/I110</f>
        <v>0</v>
      </c>
      <c r="N110" s="4">
        <f>I110/J110</f>
        <v>1.0196373456790127</v>
      </c>
    </row>
    <row r="111" spans="1:14" x14ac:dyDescent="0.3">
      <c r="A111" s="29">
        <v>45999</v>
      </c>
      <c r="B111" s="8">
        <f>YEAR(A111)</f>
        <v>2025</v>
      </c>
      <c r="C111" s="27" t="str">
        <f>TEXT(A111,"MMMM")</f>
        <v>dezembro</v>
      </c>
      <c r="D111" s="30" t="s">
        <v>29</v>
      </c>
      <c r="E111" s="30" t="s">
        <v>14</v>
      </c>
      <c r="F111" s="31">
        <v>0</v>
      </c>
      <c r="G111" s="31">
        <v>0.33800925925925923</v>
      </c>
      <c r="H111" s="31">
        <v>0.63790509259259254</v>
      </c>
      <c r="I111" s="43">
        <f>H111-G111</f>
        <v>0.29989583333333331</v>
      </c>
      <c r="J111" s="43">
        <v>0.3</v>
      </c>
      <c r="K111" s="2"/>
      <c r="L111" s="3">
        <f>J111-I111</f>
        <v>1.0416666666668295E-4</v>
      </c>
      <c r="M111" s="4">
        <f>F111/I111</f>
        <v>0</v>
      </c>
      <c r="N111" s="4">
        <f>I111/J111</f>
        <v>0.99965277777777772</v>
      </c>
    </row>
    <row r="112" spans="1:14" x14ac:dyDescent="0.3">
      <c r="A112" s="29">
        <v>46000</v>
      </c>
      <c r="B112" s="8">
        <f>YEAR(A112)</f>
        <v>2025</v>
      </c>
      <c r="C112" s="27" t="str">
        <f>TEXT(A112,"MMMM")</f>
        <v>dezembro</v>
      </c>
      <c r="D112" s="30" t="s">
        <v>16</v>
      </c>
      <c r="E112" s="30" t="s">
        <v>34</v>
      </c>
      <c r="F112" s="31">
        <v>5.2557870370370373E-2</v>
      </c>
      <c r="G112" s="31">
        <v>0.33471064814814816</v>
      </c>
      <c r="H112" s="31">
        <v>0.63487268518518514</v>
      </c>
      <c r="I112" s="43">
        <f>H112-G112</f>
        <v>0.30016203703703698</v>
      </c>
      <c r="J112" s="43">
        <v>0.3</v>
      </c>
      <c r="K112" s="41">
        <f>I112-J112</f>
        <v>1.6203703703698835E-4</v>
      </c>
      <c r="L112" s="3"/>
      <c r="M112" s="4">
        <f>F112/I112</f>
        <v>0.17509832652116916</v>
      </c>
      <c r="N112" s="4">
        <f>I112/J112</f>
        <v>1.0005401234567899</v>
      </c>
    </row>
    <row r="113" spans="1:14" x14ac:dyDescent="0.3">
      <c r="A113" s="29">
        <v>46000</v>
      </c>
      <c r="B113" s="8">
        <f>YEAR(A113)</f>
        <v>2025</v>
      </c>
      <c r="C113" s="27" t="str">
        <f>TEXT(A113,"MMMM")</f>
        <v>dezembro</v>
      </c>
      <c r="D113" s="30" t="s">
        <v>47</v>
      </c>
      <c r="E113" s="30" t="s">
        <v>17</v>
      </c>
      <c r="F113" s="31">
        <v>4.4652777777777777E-2</v>
      </c>
      <c r="G113" s="31">
        <v>0.50312500000000004</v>
      </c>
      <c r="H113" s="31">
        <v>0.7502199074074074</v>
      </c>
      <c r="I113" s="43">
        <f>H113-G113</f>
        <v>0.24709490740740736</v>
      </c>
      <c r="J113" s="43">
        <v>0.25</v>
      </c>
      <c r="K113" s="2"/>
      <c r="L113" s="3">
        <f>J113-I113</f>
        <v>2.9050925925926396E-3</v>
      </c>
      <c r="M113" s="4">
        <f>F113/I113</f>
        <v>0.18071104032975788</v>
      </c>
      <c r="N113" s="4">
        <f>I113/J113</f>
        <v>0.98837962962962944</v>
      </c>
    </row>
    <row r="114" spans="1:14" x14ac:dyDescent="0.3">
      <c r="A114" s="29">
        <v>46000</v>
      </c>
      <c r="B114" s="8">
        <f>YEAR(A114)</f>
        <v>2025</v>
      </c>
      <c r="C114" s="27" t="str">
        <f>TEXT(A114,"MMMM")</f>
        <v>dezembro</v>
      </c>
      <c r="D114" s="30" t="s">
        <v>18</v>
      </c>
      <c r="E114" s="30" t="s">
        <v>14</v>
      </c>
      <c r="F114" s="31">
        <v>0</v>
      </c>
      <c r="G114" s="31">
        <v>0.38556712962962963</v>
      </c>
      <c r="H114" s="31">
        <v>0.64001157407407405</v>
      </c>
      <c r="I114" s="43">
        <f>H114-G114</f>
        <v>0.25444444444444442</v>
      </c>
      <c r="J114" s="43">
        <v>0.3</v>
      </c>
      <c r="K114" s="2"/>
      <c r="L114" s="3">
        <f>J114-I114</f>
        <v>4.5555555555555571E-2</v>
      </c>
      <c r="M114" s="4">
        <f>F114/I114</f>
        <v>0</v>
      </c>
      <c r="N114" s="4">
        <f>I114/J114</f>
        <v>0.8481481481481481</v>
      </c>
    </row>
    <row r="115" spans="1:14" x14ac:dyDescent="0.3">
      <c r="A115" s="29">
        <v>46000</v>
      </c>
      <c r="B115" s="8">
        <f>YEAR(A115)</f>
        <v>2025</v>
      </c>
      <c r="C115" s="27" t="str">
        <f>TEXT(A115,"MMMM")</f>
        <v>dezembro</v>
      </c>
      <c r="D115" s="30" t="s">
        <v>19</v>
      </c>
      <c r="E115" s="30" t="s">
        <v>17</v>
      </c>
      <c r="F115" s="31">
        <v>5.6446759259259259E-2</v>
      </c>
      <c r="G115" s="31">
        <v>0.33454861111111112</v>
      </c>
      <c r="H115" s="31">
        <v>0.66681712962962958</v>
      </c>
      <c r="I115" s="43">
        <f>H115-G115</f>
        <v>0.33226851851851846</v>
      </c>
      <c r="J115" s="43">
        <v>0.3</v>
      </c>
      <c r="K115" s="2">
        <f>I115-J115</f>
        <v>3.2268518518518474E-2</v>
      </c>
      <c r="L115" s="3"/>
      <c r="M115" s="4">
        <f>F115/I115</f>
        <v>0.16988295945381082</v>
      </c>
      <c r="N115" s="4">
        <f>I115/J115</f>
        <v>1.1075617283950616</v>
      </c>
    </row>
    <row r="116" spans="1:14" x14ac:dyDescent="0.3">
      <c r="A116" s="29">
        <v>46000</v>
      </c>
      <c r="B116" s="8">
        <f>YEAR(A116)</f>
        <v>2025</v>
      </c>
      <c r="C116" s="27" t="str">
        <f>TEXT(A116,"MMMM")</f>
        <v>dezembro</v>
      </c>
      <c r="D116" s="30" t="s">
        <v>20</v>
      </c>
      <c r="E116" s="30" t="s">
        <v>21</v>
      </c>
      <c r="F116" s="31">
        <v>5.8831018518518519E-2</v>
      </c>
      <c r="G116" s="31">
        <v>0.33498842592592593</v>
      </c>
      <c r="H116" s="31">
        <v>0.63431712962962961</v>
      </c>
      <c r="I116" s="43">
        <f>H116-G116</f>
        <v>0.29932870370370368</v>
      </c>
      <c r="J116" s="43">
        <v>0.3</v>
      </c>
      <c r="K116" s="2"/>
      <c r="L116" s="3">
        <f>J116-I116</f>
        <v>6.7129629629630871E-4</v>
      </c>
      <c r="M116" s="4">
        <f>F116/I116</f>
        <v>0.1965431907818421</v>
      </c>
      <c r="N116" s="4">
        <f>I116/J116</f>
        <v>0.99776234567901234</v>
      </c>
    </row>
    <row r="117" spans="1:14" x14ac:dyDescent="0.3">
      <c r="A117" s="29">
        <v>46000</v>
      </c>
      <c r="B117" s="8">
        <f>YEAR(A117)</f>
        <v>2025</v>
      </c>
      <c r="C117" s="27" t="str">
        <f>TEXT(A117,"MMMM")</f>
        <v>dezembro</v>
      </c>
      <c r="D117" s="30" t="s">
        <v>69</v>
      </c>
      <c r="E117" s="30" t="s">
        <v>17</v>
      </c>
      <c r="F117" s="31">
        <v>4.9756944444444444E-2</v>
      </c>
      <c r="G117" s="31">
        <v>0.34787037037037039</v>
      </c>
      <c r="H117" s="31">
        <v>0.63445601851851852</v>
      </c>
      <c r="I117" s="43">
        <f>H117-G117</f>
        <v>0.28658564814814813</v>
      </c>
      <c r="J117" s="43">
        <v>0.3</v>
      </c>
      <c r="K117" s="2"/>
      <c r="L117" s="3">
        <f>J117-I117</f>
        <v>1.3414351851851858E-2</v>
      </c>
      <c r="M117" s="4">
        <f>F117/I117</f>
        <v>0.17361980533904126</v>
      </c>
      <c r="N117" s="4">
        <f>I117/J117</f>
        <v>0.95528549382716044</v>
      </c>
    </row>
    <row r="118" spans="1:14" x14ac:dyDescent="0.3">
      <c r="A118" s="29">
        <v>46000</v>
      </c>
      <c r="B118" s="8">
        <f>YEAR(A118)</f>
        <v>2025</v>
      </c>
      <c r="C118" s="27" t="str">
        <f>TEXT(A118,"MMMM")</f>
        <v>dezembro</v>
      </c>
      <c r="D118" s="30" t="s">
        <v>22</v>
      </c>
      <c r="E118" s="30" t="s">
        <v>21</v>
      </c>
      <c r="F118" s="31">
        <v>3.6388888888888887E-2</v>
      </c>
      <c r="G118" s="31">
        <v>0.41925925925925928</v>
      </c>
      <c r="H118" s="31">
        <v>0.75089120370370366</v>
      </c>
      <c r="I118" s="43">
        <f>H118-G118</f>
        <v>0.33163194444444438</v>
      </c>
      <c r="J118" s="43">
        <v>0.3</v>
      </c>
      <c r="K118" s="2">
        <f>I118-J118</f>
        <v>3.1631944444444393E-2</v>
      </c>
      <c r="L118" s="3"/>
      <c r="M118" s="4">
        <f>F118/I118</f>
        <v>0.10972673018532092</v>
      </c>
      <c r="N118" s="4">
        <f>I118/J118</f>
        <v>1.1054398148148146</v>
      </c>
    </row>
    <row r="119" spans="1:14" x14ac:dyDescent="0.3">
      <c r="A119" s="29">
        <v>46000</v>
      </c>
      <c r="B119" s="8">
        <f>YEAR(A119)</f>
        <v>2025</v>
      </c>
      <c r="C119" s="27" t="str">
        <f>TEXT(A119,"MMMM")</f>
        <v>dezembro</v>
      </c>
      <c r="D119" s="30" t="s">
        <v>33</v>
      </c>
      <c r="E119" s="30" t="s">
        <v>34</v>
      </c>
      <c r="F119" s="31">
        <v>4.5381944444444447E-2</v>
      </c>
      <c r="G119" s="31">
        <v>0.33372685185185186</v>
      </c>
      <c r="H119" s="31">
        <v>0.63368055555555558</v>
      </c>
      <c r="I119" s="43">
        <f>H119-G119</f>
        <v>0.29995370370370372</v>
      </c>
      <c r="J119" s="43">
        <v>0.3</v>
      </c>
      <c r="K119" s="2"/>
      <c r="L119" s="3">
        <f>J119-I119</f>
        <v>4.6296296296266526E-5</v>
      </c>
      <c r="M119" s="4">
        <f>F119/I119</f>
        <v>0.15129649637289705</v>
      </c>
      <c r="N119" s="4">
        <f>I119/J119</f>
        <v>0.99984567901234578</v>
      </c>
    </row>
    <row r="120" spans="1:14" x14ac:dyDescent="0.3">
      <c r="A120" s="29">
        <v>46000</v>
      </c>
      <c r="B120" s="8">
        <f>YEAR(A120)</f>
        <v>2025</v>
      </c>
      <c r="C120" s="27" t="str">
        <f>TEXT(A120,"MMMM")</f>
        <v>dezembro</v>
      </c>
      <c r="D120" s="30" t="s">
        <v>23</v>
      </c>
      <c r="E120" s="30" t="s">
        <v>17</v>
      </c>
      <c r="F120" s="31">
        <v>4.2488425925925923E-2</v>
      </c>
      <c r="G120" s="31">
        <v>0.44611111111111112</v>
      </c>
      <c r="H120" s="31">
        <v>0.75070601851851848</v>
      </c>
      <c r="I120" s="43">
        <f>H120-G120</f>
        <v>0.30459490740740736</v>
      </c>
      <c r="J120" s="43">
        <v>0.3</v>
      </c>
      <c r="K120" s="2">
        <f>I120-J120</f>
        <v>4.594907407407367E-3</v>
      </c>
      <c r="L120" s="3"/>
      <c r="M120" s="4">
        <f>F120/I120</f>
        <v>0.13949158338716419</v>
      </c>
      <c r="N120" s="4">
        <f>I120/J120</f>
        <v>1.0153163580246913</v>
      </c>
    </row>
    <row r="121" spans="1:14" x14ac:dyDescent="0.3">
      <c r="A121" s="29">
        <v>46000</v>
      </c>
      <c r="B121" s="8">
        <f>YEAR(A121)</f>
        <v>2025</v>
      </c>
      <c r="C121" s="27" t="str">
        <f>TEXT(A121,"MMMM")</f>
        <v>dezembro</v>
      </c>
      <c r="D121" s="30" t="s">
        <v>31</v>
      </c>
      <c r="E121" s="30" t="s">
        <v>21</v>
      </c>
      <c r="F121" s="31">
        <v>4.5439814814814815E-2</v>
      </c>
      <c r="G121" s="31">
        <v>0.42584490740740738</v>
      </c>
      <c r="H121" s="31">
        <v>0.75018518518518518</v>
      </c>
      <c r="I121" s="43">
        <f>H121-G121</f>
        <v>0.3243402777777778</v>
      </c>
      <c r="J121" s="43">
        <v>0.3</v>
      </c>
      <c r="K121" s="2">
        <f>I121-J121</f>
        <v>2.4340277777777808E-2</v>
      </c>
      <c r="L121" s="3"/>
      <c r="M121" s="4">
        <f>F121/I121</f>
        <v>0.1400992042251008</v>
      </c>
      <c r="N121" s="4">
        <f>I121/J121</f>
        <v>1.0811342592592594</v>
      </c>
    </row>
    <row r="122" spans="1:14" x14ac:dyDescent="0.3">
      <c r="A122" s="29">
        <v>46000</v>
      </c>
      <c r="B122" s="8">
        <f>YEAR(A122)</f>
        <v>2025</v>
      </c>
      <c r="C122" s="27" t="str">
        <f>TEXT(A122,"MMMM")</f>
        <v>dezembro</v>
      </c>
      <c r="D122" s="30" t="s">
        <v>25</v>
      </c>
      <c r="E122" s="30" t="s">
        <v>21</v>
      </c>
      <c r="F122" s="31">
        <v>5.890046296296296E-2</v>
      </c>
      <c r="G122" s="31">
        <v>0.33333333333333331</v>
      </c>
      <c r="H122" s="31">
        <v>0.6544444444444445</v>
      </c>
      <c r="I122" s="43">
        <f>H122-G122</f>
        <v>0.32111111111111118</v>
      </c>
      <c r="J122" s="43">
        <v>0.3</v>
      </c>
      <c r="K122" s="2">
        <f>I122-J122</f>
        <v>2.1111111111111192E-2</v>
      </c>
      <c r="L122" s="3"/>
      <c r="M122" s="4">
        <f>F122/I122</f>
        <v>0.18342704728950399</v>
      </c>
      <c r="N122" s="4">
        <f>I122/J122</f>
        <v>1.0703703703703706</v>
      </c>
    </row>
    <row r="123" spans="1:14" x14ac:dyDescent="0.3">
      <c r="A123" s="29">
        <v>46000</v>
      </c>
      <c r="B123" s="8">
        <f>YEAR(A123)</f>
        <v>2025</v>
      </c>
      <c r="C123" s="27" t="str">
        <f>TEXT(A123,"MMMM")</f>
        <v>dezembro</v>
      </c>
      <c r="D123" s="30" t="s">
        <v>26</v>
      </c>
      <c r="E123" s="30" t="s">
        <v>15</v>
      </c>
      <c r="F123" s="31">
        <v>4.5208333333333336E-2</v>
      </c>
      <c r="G123" s="31">
        <v>0.3334375</v>
      </c>
      <c r="H123" s="31">
        <v>0.63548611111111108</v>
      </c>
      <c r="I123" s="43">
        <f>H123-G123</f>
        <v>0.30204861111111109</v>
      </c>
      <c r="J123" s="43">
        <v>0.3</v>
      </c>
      <c r="K123" s="2">
        <f>I123-J123</f>
        <v>2.0486111111110983E-3</v>
      </c>
      <c r="L123" s="3"/>
      <c r="M123" s="4">
        <f>F123/I123</f>
        <v>0.14967237613518797</v>
      </c>
      <c r="N123" s="4">
        <f>I123/J123</f>
        <v>1.0068287037037036</v>
      </c>
    </row>
    <row r="124" spans="1:14" x14ac:dyDescent="0.3">
      <c r="A124" s="29">
        <v>46000</v>
      </c>
      <c r="B124" s="8">
        <f>YEAR(A124)</f>
        <v>2025</v>
      </c>
      <c r="C124" s="27" t="str">
        <f>TEXT(A124,"MMMM")</f>
        <v>dezembro</v>
      </c>
      <c r="D124" s="30" t="s">
        <v>65</v>
      </c>
      <c r="E124" s="30" t="s">
        <v>14</v>
      </c>
      <c r="F124" s="31">
        <v>5.2094907407407409E-2</v>
      </c>
      <c r="G124" s="31">
        <v>0.34145833333333331</v>
      </c>
      <c r="H124" s="31">
        <v>0.64405092592592594</v>
      </c>
      <c r="I124" s="43">
        <f>H124-G124</f>
        <v>0.30259259259259264</v>
      </c>
      <c r="J124" s="43">
        <v>0.3</v>
      </c>
      <c r="K124" s="2">
        <f>I124-J124</f>
        <v>2.5925925925926463E-3</v>
      </c>
      <c r="L124" s="3"/>
      <c r="M124" s="4">
        <f>F124/I124</f>
        <v>0.17216187270501834</v>
      </c>
      <c r="N124" s="4">
        <f>I124/J124</f>
        <v>1.0086419753086422</v>
      </c>
    </row>
    <row r="125" spans="1:14" x14ac:dyDescent="0.3">
      <c r="A125" s="29">
        <v>46000</v>
      </c>
      <c r="B125" s="8">
        <f>YEAR(A125)</f>
        <v>2025</v>
      </c>
      <c r="C125" s="27" t="str">
        <f>TEXT(A125,"MMMM")</f>
        <v>dezembro</v>
      </c>
      <c r="D125" s="30" t="s">
        <v>27</v>
      </c>
      <c r="E125" s="30" t="s">
        <v>17</v>
      </c>
      <c r="F125" s="31">
        <v>4.4930555555555557E-2</v>
      </c>
      <c r="G125" s="31">
        <v>0.33457175925925925</v>
      </c>
      <c r="H125" s="31">
        <v>0.63629629629629625</v>
      </c>
      <c r="I125" s="43">
        <f>H125-G125</f>
        <v>0.301724537037037</v>
      </c>
      <c r="J125" s="43">
        <v>0.3</v>
      </c>
      <c r="K125" s="2">
        <f>I125-J125</f>
        <v>1.7245370370370106E-3</v>
      </c>
      <c r="L125" s="3"/>
      <c r="M125" s="4">
        <f>F125/I125</f>
        <v>0.14891250143849019</v>
      </c>
      <c r="N125" s="4">
        <f>I125/J125</f>
        <v>1.0057484567901234</v>
      </c>
    </row>
    <row r="126" spans="1:14" x14ac:dyDescent="0.3">
      <c r="A126" s="29">
        <v>46000</v>
      </c>
      <c r="B126" s="8">
        <f>YEAR(A126)</f>
        <v>2025</v>
      </c>
      <c r="C126" s="27" t="str">
        <f>TEXT(A126,"MMMM")</f>
        <v>dezembro</v>
      </c>
      <c r="D126" s="30" t="s">
        <v>68</v>
      </c>
      <c r="E126" s="30" t="s">
        <v>34</v>
      </c>
      <c r="F126" s="31">
        <v>4.372685185185185E-2</v>
      </c>
      <c r="G126" s="31">
        <v>0.44877314814814817</v>
      </c>
      <c r="H126" s="31">
        <v>0.75173611111111116</v>
      </c>
      <c r="I126" s="43">
        <f>H126-G126</f>
        <v>0.30296296296296299</v>
      </c>
      <c r="J126" s="43">
        <v>0.3</v>
      </c>
      <c r="K126" s="2">
        <f>I126-J126</f>
        <v>2.9629629629630005E-3</v>
      </c>
      <c r="L126" s="3"/>
      <c r="M126" s="4">
        <f>F126/I126</f>
        <v>0.144330684596577</v>
      </c>
      <c r="N126" s="4">
        <f>I126/J126</f>
        <v>1.0098765432098766</v>
      </c>
    </row>
    <row r="127" spans="1:14" x14ac:dyDescent="0.3">
      <c r="A127" s="29">
        <v>46000</v>
      </c>
      <c r="B127" s="8">
        <f>YEAR(A127)</f>
        <v>2025</v>
      </c>
      <c r="C127" s="27" t="str">
        <f>TEXT(A127,"MMMM")</f>
        <v>dezembro</v>
      </c>
      <c r="D127" s="30" t="s">
        <v>32</v>
      </c>
      <c r="E127" s="30" t="s">
        <v>34</v>
      </c>
      <c r="F127" s="31">
        <v>4.5925925925925926E-2</v>
      </c>
      <c r="G127" s="31">
        <v>0.43686342592592592</v>
      </c>
      <c r="H127" s="31">
        <v>0.75143518518518515</v>
      </c>
      <c r="I127" s="43">
        <f>H127-G127</f>
        <v>0.31457175925925923</v>
      </c>
      <c r="J127" s="43">
        <v>0.3</v>
      </c>
      <c r="K127" s="2">
        <f>I127-J127</f>
        <v>1.4571759259259243E-2</v>
      </c>
      <c r="L127" s="3"/>
      <c r="M127" s="4">
        <f>F127/I127</f>
        <v>0.14599506972294787</v>
      </c>
      <c r="N127" s="4">
        <f>I127/J127</f>
        <v>1.0485725308641975</v>
      </c>
    </row>
    <row r="128" spans="1:14" x14ac:dyDescent="0.3">
      <c r="A128" s="29">
        <v>46000</v>
      </c>
      <c r="B128" s="8">
        <f>YEAR(A128)</f>
        <v>2025</v>
      </c>
      <c r="C128" s="27" t="str">
        <f>TEXT(A128,"MMMM")</f>
        <v>dezembro</v>
      </c>
      <c r="D128" s="30" t="s">
        <v>28</v>
      </c>
      <c r="E128" s="30" t="s">
        <v>14</v>
      </c>
      <c r="F128" s="31">
        <v>0</v>
      </c>
      <c r="G128" s="31">
        <v>0.34436342592592595</v>
      </c>
      <c r="H128" s="31">
        <v>0.64491898148148152</v>
      </c>
      <c r="I128" s="43">
        <f>H128-G128</f>
        <v>0.30055555555555558</v>
      </c>
      <c r="J128" s="43">
        <v>0.3</v>
      </c>
      <c r="K128" s="2">
        <f>I128-J128</f>
        <v>5.5555555555558689E-4</v>
      </c>
      <c r="L128" s="3"/>
      <c r="M128" s="4">
        <f>F128/I128</f>
        <v>0</v>
      </c>
      <c r="N128" s="4">
        <f>I128/J128</f>
        <v>1.001851851851852</v>
      </c>
    </row>
    <row r="129" spans="1:14" x14ac:dyDescent="0.3">
      <c r="A129" s="29">
        <v>46000</v>
      </c>
      <c r="B129" s="8">
        <f>YEAR(A129)</f>
        <v>2025</v>
      </c>
      <c r="C129" s="27" t="str">
        <f>TEXT(A129,"MMMM")</f>
        <v>dezembro</v>
      </c>
      <c r="D129" s="30" t="s">
        <v>29</v>
      </c>
      <c r="E129" s="30" t="s">
        <v>14</v>
      </c>
      <c r="F129" s="31">
        <v>0</v>
      </c>
      <c r="G129" s="31">
        <v>0.34263888888888888</v>
      </c>
      <c r="H129" s="31">
        <v>0.63769675925925928</v>
      </c>
      <c r="I129" s="43">
        <f>H129-G129</f>
        <v>0.2950578703703704</v>
      </c>
      <c r="J129" s="43">
        <v>0.3</v>
      </c>
      <c r="K129" s="2"/>
      <c r="L129" s="3">
        <f>J129-I129</f>
        <v>4.942129629629588E-3</v>
      </c>
      <c r="M129" s="4">
        <f>F129/I129</f>
        <v>0</v>
      </c>
      <c r="N129" s="4">
        <f>I129/J129</f>
        <v>0.98352623456790134</v>
      </c>
    </row>
    <row r="130" spans="1:14" x14ac:dyDescent="0.3">
      <c r="A130" s="29">
        <v>46001</v>
      </c>
      <c r="B130" s="8">
        <f>YEAR(A130)</f>
        <v>2025</v>
      </c>
      <c r="C130" s="27" t="str">
        <f>TEXT(A130,"MMMM")</f>
        <v>dezembro</v>
      </c>
      <c r="D130" s="30" t="s">
        <v>16</v>
      </c>
      <c r="E130" s="30" t="s">
        <v>34</v>
      </c>
      <c r="F130" s="31">
        <v>4.476851851851852E-2</v>
      </c>
      <c r="G130" s="31">
        <v>0.33643518518518517</v>
      </c>
      <c r="H130" s="31">
        <v>0.67594907407407412</v>
      </c>
      <c r="I130" s="43">
        <f>H130-G130</f>
        <v>0.33951388888888895</v>
      </c>
      <c r="J130" s="43">
        <v>0.3</v>
      </c>
      <c r="K130" s="41">
        <f>I130-J130</f>
        <v>3.9513888888888959E-2</v>
      </c>
      <c r="L130" s="3"/>
      <c r="M130" s="4">
        <f>F130/I130</f>
        <v>0.13186063953091973</v>
      </c>
      <c r="N130" s="4">
        <f>I130/J130</f>
        <v>1.1317129629629632</v>
      </c>
    </row>
    <row r="131" spans="1:14" x14ac:dyDescent="0.3">
      <c r="A131" s="29">
        <v>46001</v>
      </c>
      <c r="B131" s="8">
        <f>YEAR(A131)</f>
        <v>2025</v>
      </c>
      <c r="C131" s="27" t="str">
        <f>TEXT(A131,"MMMM")</f>
        <v>dezembro</v>
      </c>
      <c r="D131" s="30" t="s">
        <v>47</v>
      </c>
      <c r="E131" s="30" t="s">
        <v>17</v>
      </c>
      <c r="F131" s="31">
        <v>3.4039351851851848E-2</v>
      </c>
      <c r="G131" s="31">
        <v>0.51159722222222226</v>
      </c>
      <c r="H131" s="31">
        <v>0.75042824074074077</v>
      </c>
      <c r="I131" s="43">
        <f>H131-G131</f>
        <v>0.23883101851851851</v>
      </c>
      <c r="J131" s="43">
        <v>0.25</v>
      </c>
      <c r="K131" s="2"/>
      <c r="L131" s="3">
        <f>J131-I131</f>
        <v>1.1168981481481488E-2</v>
      </c>
      <c r="M131" s="4">
        <f>F131/I131</f>
        <v>0.14252483644293676</v>
      </c>
      <c r="N131" s="4">
        <f>I131/J131</f>
        <v>0.95532407407407405</v>
      </c>
    </row>
    <row r="132" spans="1:14" x14ac:dyDescent="0.3">
      <c r="A132" s="29">
        <v>46001</v>
      </c>
      <c r="B132" s="8">
        <f>YEAR(A132)</f>
        <v>2025</v>
      </c>
      <c r="C132" s="27" t="str">
        <f>TEXT(A132,"MMMM")</f>
        <v>dezembro</v>
      </c>
      <c r="D132" s="30" t="s">
        <v>18</v>
      </c>
      <c r="E132" s="30" t="s">
        <v>14</v>
      </c>
      <c r="F132" s="31">
        <v>0</v>
      </c>
      <c r="G132" s="31">
        <v>0.33991898148148147</v>
      </c>
      <c r="H132" s="31">
        <v>0.64574074074074073</v>
      </c>
      <c r="I132" s="43">
        <f>H132-G132</f>
        <v>0.30582175925925925</v>
      </c>
      <c r="J132" s="43">
        <v>0.3</v>
      </c>
      <c r="K132" s="2">
        <f>I132-J132</f>
        <v>5.8217592592592626E-3</v>
      </c>
      <c r="L132" s="3"/>
      <c r="M132" s="4">
        <f>F132/I132</f>
        <v>0</v>
      </c>
      <c r="N132" s="4">
        <f>I132/J132</f>
        <v>1.019405864197531</v>
      </c>
    </row>
    <row r="133" spans="1:14" x14ac:dyDescent="0.3">
      <c r="A133" s="29">
        <v>46001</v>
      </c>
      <c r="B133" s="8">
        <f>YEAR(A133)</f>
        <v>2025</v>
      </c>
      <c r="C133" s="27" t="str">
        <f>TEXT(A133,"MMMM")</f>
        <v>dezembro</v>
      </c>
      <c r="D133" s="30" t="s">
        <v>19</v>
      </c>
      <c r="E133" s="30" t="s">
        <v>17</v>
      </c>
      <c r="F133" s="31">
        <v>4.7256944444444442E-2</v>
      </c>
      <c r="G133" s="31">
        <v>0.34188657407407408</v>
      </c>
      <c r="H133" s="31">
        <v>0.66738425925925926</v>
      </c>
      <c r="I133" s="43">
        <f>H133-G133</f>
        <v>0.32549768518518518</v>
      </c>
      <c r="J133" s="43">
        <v>0.3</v>
      </c>
      <c r="K133" s="2">
        <f>I133-J133</f>
        <v>2.5497685185185193E-2</v>
      </c>
      <c r="L133" s="3"/>
      <c r="M133" s="4">
        <f>F133/I133</f>
        <v>0.14518365750453366</v>
      </c>
      <c r="N133" s="4">
        <f>I133/J133</f>
        <v>1.0849922839506174</v>
      </c>
    </row>
    <row r="134" spans="1:14" x14ac:dyDescent="0.3">
      <c r="A134" s="29">
        <v>46001</v>
      </c>
      <c r="B134" s="8">
        <f>YEAR(A134)</f>
        <v>2025</v>
      </c>
      <c r="C134" s="27" t="str">
        <f>TEXT(A134,"MMMM")</f>
        <v>dezembro</v>
      </c>
      <c r="D134" s="30" t="s">
        <v>20</v>
      </c>
      <c r="E134" s="30" t="s">
        <v>21</v>
      </c>
      <c r="F134" s="31">
        <v>5.3865740740740742E-2</v>
      </c>
      <c r="G134" s="31">
        <v>0.33586805555555554</v>
      </c>
      <c r="H134" s="31">
        <v>0.6752083333333333</v>
      </c>
      <c r="I134" s="43">
        <f>H134-G134</f>
        <v>0.33934027777777775</v>
      </c>
      <c r="J134" s="43">
        <v>0.3</v>
      </c>
      <c r="K134" s="2">
        <f>I134-J134</f>
        <v>3.9340277777777766E-2</v>
      </c>
      <c r="L134" s="3"/>
      <c r="M134" s="4">
        <f>F134/I134</f>
        <v>0.15873665541116683</v>
      </c>
      <c r="N134" s="4">
        <f>I134/J134</f>
        <v>1.1311342592592593</v>
      </c>
    </row>
    <row r="135" spans="1:14" x14ac:dyDescent="0.3">
      <c r="A135" s="29">
        <v>46001</v>
      </c>
      <c r="B135" s="8">
        <f>YEAR(A135)</f>
        <v>2025</v>
      </c>
      <c r="C135" s="27" t="str">
        <f>TEXT(A135,"MMMM")</f>
        <v>dezembro</v>
      </c>
      <c r="D135" s="30" t="s">
        <v>69</v>
      </c>
      <c r="E135" s="30" t="s">
        <v>17</v>
      </c>
      <c r="F135" s="31">
        <v>4.2129629629629628E-2</v>
      </c>
      <c r="G135" s="31">
        <v>0.33497685185185183</v>
      </c>
      <c r="H135" s="31">
        <v>0.67577546296296298</v>
      </c>
      <c r="I135" s="43">
        <f>H135-G135</f>
        <v>0.34079861111111115</v>
      </c>
      <c r="J135" s="43">
        <v>0.3</v>
      </c>
      <c r="K135" s="2">
        <f>I135-J135</f>
        <v>4.079861111111116E-2</v>
      </c>
      <c r="L135" s="3"/>
      <c r="M135" s="4">
        <f>F135/I135</f>
        <v>0.12362030905077261</v>
      </c>
      <c r="N135" s="4">
        <f>I135/J135</f>
        <v>1.1359953703703705</v>
      </c>
    </row>
    <row r="136" spans="1:14" x14ac:dyDescent="0.3">
      <c r="A136" s="29">
        <v>46001</v>
      </c>
      <c r="B136" s="8">
        <f>YEAR(A136)</f>
        <v>2025</v>
      </c>
      <c r="C136" s="27" t="str">
        <f>TEXT(A136,"MMMM")</f>
        <v>dezembro</v>
      </c>
      <c r="D136" s="30" t="s">
        <v>22</v>
      </c>
      <c r="E136" s="30" t="s">
        <v>21</v>
      </c>
      <c r="F136" s="31">
        <v>3.6111111111111108E-2</v>
      </c>
      <c r="G136" s="31">
        <v>0.42478009259259258</v>
      </c>
      <c r="H136" s="31">
        <v>0.75043981481481481</v>
      </c>
      <c r="I136" s="43">
        <f>H136-G136</f>
        <v>0.32565972222222223</v>
      </c>
      <c r="J136" s="43">
        <v>0.3</v>
      </c>
      <c r="K136" s="2">
        <f>I136-J136</f>
        <v>2.5659722222222237E-2</v>
      </c>
      <c r="L136" s="3"/>
      <c r="M136" s="4">
        <f>F136/I136</f>
        <v>0.11088602196396204</v>
      </c>
      <c r="N136" s="4">
        <f>I136/J136</f>
        <v>1.0855324074074075</v>
      </c>
    </row>
    <row r="137" spans="1:14" x14ac:dyDescent="0.3">
      <c r="A137" s="29">
        <v>46001</v>
      </c>
      <c r="B137" s="8">
        <f>YEAR(A137)</f>
        <v>2025</v>
      </c>
      <c r="C137" s="27" t="str">
        <f>TEXT(A137,"MMMM")</f>
        <v>dezembro</v>
      </c>
      <c r="D137" s="30" t="s">
        <v>33</v>
      </c>
      <c r="E137" s="30" t="s">
        <v>34</v>
      </c>
      <c r="F137" s="31">
        <v>3.2314814814814817E-2</v>
      </c>
      <c r="G137" s="31">
        <v>0.33372685185185186</v>
      </c>
      <c r="H137" s="31">
        <v>0.63437500000000002</v>
      </c>
      <c r="I137" s="43">
        <f>H137-G137</f>
        <v>0.30064814814814816</v>
      </c>
      <c r="J137" s="43">
        <v>0.3</v>
      </c>
      <c r="K137" s="2">
        <f>I137-J137</f>
        <v>6.4814814814817545E-4</v>
      </c>
      <c r="L137" s="3"/>
      <c r="M137" s="4">
        <f>F137/I137</f>
        <v>0.10748383122882661</v>
      </c>
      <c r="N137" s="4">
        <f>I137/J137</f>
        <v>1.0021604938271607</v>
      </c>
    </row>
    <row r="138" spans="1:14" x14ac:dyDescent="0.3">
      <c r="A138" s="29">
        <v>46001</v>
      </c>
      <c r="B138" s="8">
        <f>YEAR(A138)</f>
        <v>2025</v>
      </c>
      <c r="C138" s="27" t="str">
        <f>TEXT(A138,"MMMM")</f>
        <v>dezembro</v>
      </c>
      <c r="D138" s="30" t="s">
        <v>23</v>
      </c>
      <c r="E138" s="30" t="s">
        <v>17</v>
      </c>
      <c r="F138" s="31">
        <v>5.1608796296296298E-2</v>
      </c>
      <c r="G138" s="31">
        <v>0.44547453703703704</v>
      </c>
      <c r="H138" s="31">
        <v>0.75023148148148144</v>
      </c>
      <c r="I138" s="43">
        <f>H138-G138</f>
        <v>0.3047569444444444</v>
      </c>
      <c r="J138" s="43">
        <v>0.3</v>
      </c>
      <c r="K138" s="2">
        <f>I138-J138</f>
        <v>4.7569444444444109E-3</v>
      </c>
      <c r="L138" s="3"/>
      <c r="M138" s="4">
        <f>F138/I138</f>
        <v>0.16934411909916072</v>
      </c>
      <c r="N138" s="4">
        <f>I138/J138</f>
        <v>1.0158564814814814</v>
      </c>
    </row>
    <row r="139" spans="1:14" x14ac:dyDescent="0.3">
      <c r="A139" s="29">
        <v>46001</v>
      </c>
      <c r="B139" s="8">
        <f>YEAR(A139)</f>
        <v>2025</v>
      </c>
      <c r="C139" s="27" t="str">
        <f>TEXT(A139,"MMMM")</f>
        <v>dezembro</v>
      </c>
      <c r="D139" s="30" t="s">
        <v>31</v>
      </c>
      <c r="E139" s="30" t="s">
        <v>21</v>
      </c>
      <c r="F139" s="31">
        <v>4.1435185185185186E-2</v>
      </c>
      <c r="G139" s="31">
        <v>0.46998842592592593</v>
      </c>
      <c r="H139" s="31">
        <v>0.75023148148148144</v>
      </c>
      <c r="I139" s="43">
        <f>H139-G139</f>
        <v>0.28024305555555551</v>
      </c>
      <c r="J139" s="43">
        <v>0.3</v>
      </c>
      <c r="K139" s="2"/>
      <c r="L139" s="3">
        <f>J139-I139</f>
        <v>1.975694444444448E-2</v>
      </c>
      <c r="M139" s="4">
        <f>F139/I139</f>
        <v>0.14785445834882091</v>
      </c>
      <c r="N139" s="4">
        <f>I139/J139</f>
        <v>0.9341435185185184</v>
      </c>
    </row>
    <row r="140" spans="1:14" x14ac:dyDescent="0.3">
      <c r="A140" s="29">
        <v>46001</v>
      </c>
      <c r="B140" s="8">
        <f>YEAR(A140)</f>
        <v>2025</v>
      </c>
      <c r="C140" s="27" t="str">
        <f>TEXT(A140,"MMMM")</f>
        <v>dezembro</v>
      </c>
      <c r="D140" s="30" t="s">
        <v>25</v>
      </c>
      <c r="E140" s="30" t="s">
        <v>21</v>
      </c>
      <c r="F140" s="31">
        <v>5.0497685185185187E-2</v>
      </c>
      <c r="G140" s="31">
        <v>0.33333333333333331</v>
      </c>
      <c r="H140" s="31">
        <v>0.67531249999999998</v>
      </c>
      <c r="I140" s="43">
        <f>H140-G140</f>
        <v>0.34197916666666667</v>
      </c>
      <c r="J140" s="43">
        <v>0.3</v>
      </c>
      <c r="K140" s="2">
        <f>I140-J140</f>
        <v>4.1979166666666679E-2</v>
      </c>
      <c r="L140" s="3"/>
      <c r="M140" s="4">
        <f>F140/I140</f>
        <v>0.14766304531762955</v>
      </c>
      <c r="N140" s="4">
        <f>I140/J140</f>
        <v>1.1399305555555557</v>
      </c>
    </row>
    <row r="141" spans="1:14" x14ac:dyDescent="0.3">
      <c r="A141" s="29">
        <v>46001</v>
      </c>
      <c r="B141" s="8">
        <f>YEAR(A141)</f>
        <v>2025</v>
      </c>
      <c r="C141" s="27" t="str">
        <f>TEXT(A141,"MMMM")</f>
        <v>dezembro</v>
      </c>
      <c r="D141" s="30" t="s">
        <v>26</v>
      </c>
      <c r="E141" s="30" t="s">
        <v>15</v>
      </c>
      <c r="F141" s="31">
        <v>3.8819444444444441E-2</v>
      </c>
      <c r="G141" s="31">
        <v>0.33339120370370373</v>
      </c>
      <c r="H141" s="31">
        <v>0.68469907407407404</v>
      </c>
      <c r="I141" s="43">
        <f>H141-G141</f>
        <v>0.35130787037037031</v>
      </c>
      <c r="J141" s="43">
        <v>0.3</v>
      </c>
      <c r="K141" s="2">
        <f>I141-J141</f>
        <v>5.1307870370370323E-2</v>
      </c>
      <c r="L141" s="3"/>
      <c r="M141" s="4">
        <f>F141/I141</f>
        <v>0.1104997858531282</v>
      </c>
      <c r="N141" s="4">
        <f>I141/J141</f>
        <v>1.171026234567901</v>
      </c>
    </row>
    <row r="142" spans="1:14" x14ac:dyDescent="0.3">
      <c r="A142" s="29">
        <v>46001</v>
      </c>
      <c r="B142" s="8">
        <f>YEAR(A142)</f>
        <v>2025</v>
      </c>
      <c r="C142" s="27" t="str">
        <f>TEXT(A142,"MMMM")</f>
        <v>dezembro</v>
      </c>
      <c r="D142" s="30" t="s">
        <v>65</v>
      </c>
      <c r="E142" s="30" t="s">
        <v>14</v>
      </c>
      <c r="F142" s="31">
        <v>3.8553240740740742E-2</v>
      </c>
      <c r="G142" s="31">
        <v>0.33374999999999999</v>
      </c>
      <c r="H142" s="31">
        <v>0.63402777777777775</v>
      </c>
      <c r="I142" s="43">
        <f>H142-G142</f>
        <v>0.30027777777777775</v>
      </c>
      <c r="J142" s="43">
        <v>0.3</v>
      </c>
      <c r="K142" s="2">
        <f>I142-J142</f>
        <v>2.7777777777776569E-4</v>
      </c>
      <c r="L142" s="3"/>
      <c r="M142" s="4">
        <f>F142/I142</f>
        <v>0.12839192106074623</v>
      </c>
      <c r="N142" s="4">
        <f>I142/J142</f>
        <v>1.0009259259259258</v>
      </c>
    </row>
    <row r="143" spans="1:14" x14ac:dyDescent="0.3">
      <c r="A143" s="29">
        <v>46001</v>
      </c>
      <c r="B143" s="8">
        <f>YEAR(A143)</f>
        <v>2025</v>
      </c>
      <c r="C143" s="27" t="str">
        <f>TEXT(A143,"MMMM")</f>
        <v>dezembro</v>
      </c>
      <c r="D143" s="30" t="s">
        <v>27</v>
      </c>
      <c r="E143" s="30" t="s">
        <v>17</v>
      </c>
      <c r="F143" s="31">
        <v>4.3703703703703703E-2</v>
      </c>
      <c r="G143" s="31">
        <v>0.33637731481481481</v>
      </c>
      <c r="H143" s="31">
        <v>0.67585648148148147</v>
      </c>
      <c r="I143" s="43">
        <f>H143-G143</f>
        <v>0.33947916666666667</v>
      </c>
      <c r="J143" s="43">
        <v>0.3</v>
      </c>
      <c r="K143" s="2">
        <f>I143-J143</f>
        <v>3.9479166666666676E-2</v>
      </c>
      <c r="L143" s="3"/>
      <c r="M143" s="4">
        <f>F143/I143</f>
        <v>0.12873751321127816</v>
      </c>
      <c r="N143" s="4">
        <f>I143/J143</f>
        <v>1.1315972222222224</v>
      </c>
    </row>
    <row r="144" spans="1:14" x14ac:dyDescent="0.3">
      <c r="A144" s="29">
        <v>46001</v>
      </c>
      <c r="B144" s="8">
        <f>YEAR(A144)</f>
        <v>2025</v>
      </c>
      <c r="C144" s="27" t="str">
        <f>TEXT(A144,"MMMM")</f>
        <v>dezembro</v>
      </c>
      <c r="D144" s="30" t="s">
        <v>68</v>
      </c>
      <c r="E144" s="30" t="s">
        <v>34</v>
      </c>
      <c r="F144" s="31">
        <v>4.4976851851851851E-2</v>
      </c>
      <c r="G144" s="31">
        <v>0.4472800925925926</v>
      </c>
      <c r="H144" s="31">
        <v>0.75038194444444439</v>
      </c>
      <c r="I144" s="43">
        <f>H144-G144</f>
        <v>0.30310185185185179</v>
      </c>
      <c r="J144" s="43">
        <v>0.3</v>
      </c>
      <c r="K144" s="2">
        <f>I144-J144</f>
        <v>3.1018518518518001E-3</v>
      </c>
      <c r="L144" s="3"/>
      <c r="M144" s="4">
        <f>F144/I144</f>
        <v>0.14838857491981064</v>
      </c>
      <c r="N144" s="4">
        <f>I144/J144</f>
        <v>1.0103395061728393</v>
      </c>
    </row>
    <row r="145" spans="1:14" x14ac:dyDescent="0.3">
      <c r="A145" s="29">
        <v>46001</v>
      </c>
      <c r="B145" s="8">
        <f>YEAR(A145)</f>
        <v>2025</v>
      </c>
      <c r="C145" s="27" t="str">
        <f>TEXT(A145,"MMMM")</f>
        <v>dezembro</v>
      </c>
      <c r="D145" s="30" t="s">
        <v>32</v>
      </c>
      <c r="E145" s="30" t="s">
        <v>34</v>
      </c>
      <c r="F145" s="31">
        <v>4.8020833333333332E-2</v>
      </c>
      <c r="G145" s="31">
        <v>0.42848379629629629</v>
      </c>
      <c r="H145" s="31">
        <v>0.750462962962963</v>
      </c>
      <c r="I145" s="43">
        <f>H145-G145</f>
        <v>0.32197916666666671</v>
      </c>
      <c r="J145" s="43">
        <v>0.3</v>
      </c>
      <c r="K145" s="2">
        <f>I145-J145</f>
        <v>2.1979166666666716E-2</v>
      </c>
      <c r="L145" s="3"/>
      <c r="M145" s="4">
        <f>F145/I145</f>
        <v>0.14914267227434486</v>
      </c>
      <c r="N145" s="4">
        <f>I145/J145</f>
        <v>1.073263888888889</v>
      </c>
    </row>
    <row r="146" spans="1:14" x14ac:dyDescent="0.3">
      <c r="A146" s="29">
        <v>46001</v>
      </c>
      <c r="B146" s="8">
        <f>YEAR(A146)</f>
        <v>2025</v>
      </c>
      <c r="C146" s="27" t="str">
        <f>TEXT(A146,"MMMM")</f>
        <v>dezembro</v>
      </c>
      <c r="D146" s="30" t="s">
        <v>30</v>
      </c>
      <c r="E146" s="30" t="s">
        <v>34</v>
      </c>
      <c r="F146" s="31">
        <v>4.9942129629629628E-2</v>
      </c>
      <c r="G146" s="31">
        <v>0.3336689814814815</v>
      </c>
      <c r="H146" s="31">
        <v>0.66696759259259264</v>
      </c>
      <c r="I146" s="43">
        <f>H146-G146</f>
        <v>0.33329861111111114</v>
      </c>
      <c r="J146" s="43">
        <v>0.3</v>
      </c>
      <c r="K146" s="2">
        <f>I146-J146</f>
        <v>3.3298611111111154E-2</v>
      </c>
      <c r="L146" s="3"/>
      <c r="M146" s="4">
        <f>F146/I146</f>
        <v>0.14984199743028787</v>
      </c>
      <c r="N146" s="4">
        <f>I146/J146</f>
        <v>1.1109953703703705</v>
      </c>
    </row>
    <row r="147" spans="1:14" x14ac:dyDescent="0.3">
      <c r="A147" s="29">
        <v>46001</v>
      </c>
      <c r="B147" s="8">
        <f>YEAR(A147)</f>
        <v>2025</v>
      </c>
      <c r="C147" s="27" t="str">
        <f>TEXT(A147,"MMMM")</f>
        <v>dezembro</v>
      </c>
      <c r="D147" s="30" t="s">
        <v>28</v>
      </c>
      <c r="E147" s="30" t="s">
        <v>14</v>
      </c>
      <c r="F147" s="31">
        <v>0</v>
      </c>
      <c r="G147" s="31">
        <v>0.34427083333333336</v>
      </c>
      <c r="H147" s="31">
        <v>0.65408564814814818</v>
      </c>
      <c r="I147" s="43">
        <f>H147-G147</f>
        <v>0.30981481481481482</v>
      </c>
      <c r="J147" s="43">
        <v>0.3</v>
      </c>
      <c r="K147" s="2">
        <f>I147-J147</f>
        <v>9.8148148148148318E-3</v>
      </c>
      <c r="L147" s="3"/>
      <c r="M147" s="4">
        <f>F147/I147</f>
        <v>0</v>
      </c>
      <c r="N147" s="4">
        <f>I147/J147</f>
        <v>1.0327160493827161</v>
      </c>
    </row>
    <row r="148" spans="1:14" x14ac:dyDescent="0.3">
      <c r="A148" s="29">
        <v>46001</v>
      </c>
      <c r="B148" s="8">
        <f>YEAR(A148)</f>
        <v>2025</v>
      </c>
      <c r="C148" s="27" t="str">
        <f>TEXT(A148,"MMMM")</f>
        <v>dezembro</v>
      </c>
      <c r="D148" s="30" t="s">
        <v>29</v>
      </c>
      <c r="E148" s="30" t="s">
        <v>14</v>
      </c>
      <c r="F148" s="31">
        <v>0</v>
      </c>
      <c r="G148" s="31">
        <v>0.36935185185185188</v>
      </c>
      <c r="H148" s="31">
        <v>0.64026620370370368</v>
      </c>
      <c r="I148" s="43">
        <f>H148-G148</f>
        <v>0.27091435185185181</v>
      </c>
      <c r="J148" s="43">
        <v>0.3</v>
      </c>
      <c r="K148" s="2"/>
      <c r="L148" s="3">
        <f>J148-I148</f>
        <v>2.908564814814818E-2</v>
      </c>
      <c r="M148" s="4">
        <f>F148/I148</f>
        <v>0</v>
      </c>
      <c r="N148" s="4">
        <f>I148/J148</f>
        <v>0.90304783950617273</v>
      </c>
    </row>
    <row r="149" spans="1:14" x14ac:dyDescent="0.3">
      <c r="A149" s="29">
        <v>46002</v>
      </c>
      <c r="B149" s="8">
        <f>YEAR(A149)</f>
        <v>2025</v>
      </c>
      <c r="C149" s="27" t="str">
        <f>TEXT(A149,"MMMM")</f>
        <v>dezembro</v>
      </c>
      <c r="D149" s="30" t="s">
        <v>16</v>
      </c>
      <c r="E149" s="30" t="s">
        <v>34</v>
      </c>
      <c r="F149" s="31">
        <v>3.8263888888888889E-2</v>
      </c>
      <c r="G149" s="31">
        <v>0.36997685185185186</v>
      </c>
      <c r="H149" s="31">
        <v>0.71188657407407407</v>
      </c>
      <c r="I149" s="43">
        <f>H149-G149</f>
        <v>0.34190972222222221</v>
      </c>
      <c r="J149" s="43">
        <v>0.3</v>
      </c>
      <c r="K149" s="41">
        <f>I149-J149</f>
        <v>4.1909722222222223E-2</v>
      </c>
      <c r="L149" s="3"/>
      <c r="M149" s="4">
        <f>F149/I149</f>
        <v>0.11191225754036763</v>
      </c>
      <c r="N149" s="4">
        <f>I149/J149</f>
        <v>1.139699074074074</v>
      </c>
    </row>
    <row r="150" spans="1:14" x14ac:dyDescent="0.3">
      <c r="A150" s="29">
        <v>46002</v>
      </c>
      <c r="B150" s="8">
        <f>YEAR(A150)</f>
        <v>2025</v>
      </c>
      <c r="C150" s="27" t="str">
        <f>TEXT(A150,"MMMM")</f>
        <v>dezembro</v>
      </c>
      <c r="D150" s="30" t="s">
        <v>47</v>
      </c>
      <c r="E150" s="30" t="s">
        <v>17</v>
      </c>
      <c r="F150" s="31">
        <v>6.9513888888888889E-2</v>
      </c>
      <c r="G150" s="31">
        <v>0.51902777777777775</v>
      </c>
      <c r="H150" s="31">
        <v>0.75045138888888885</v>
      </c>
      <c r="I150" s="43">
        <f>H150-G150</f>
        <v>0.23142361111111109</v>
      </c>
      <c r="J150" s="43">
        <v>0.25</v>
      </c>
      <c r="K150" s="2"/>
      <c r="L150" s="3">
        <f>J150-I150</f>
        <v>1.8576388888888906E-2</v>
      </c>
      <c r="M150" s="4">
        <f>F150/I150</f>
        <v>0.3003750937734434</v>
      </c>
      <c r="N150" s="4">
        <f>I150/J150</f>
        <v>0.92569444444444438</v>
      </c>
    </row>
    <row r="151" spans="1:14" x14ac:dyDescent="0.3">
      <c r="A151" s="29">
        <v>46002</v>
      </c>
      <c r="B151" s="8">
        <f>YEAR(A151)</f>
        <v>2025</v>
      </c>
      <c r="C151" s="27" t="str">
        <f>TEXT(A151,"MMMM")</f>
        <v>dezembro</v>
      </c>
      <c r="D151" s="30" t="s">
        <v>18</v>
      </c>
      <c r="E151" s="30" t="s">
        <v>14</v>
      </c>
      <c r="F151" s="31">
        <v>0</v>
      </c>
      <c r="G151" s="31">
        <v>0.33746527777777779</v>
      </c>
      <c r="H151" s="31">
        <v>0.62729166666666669</v>
      </c>
      <c r="I151" s="43">
        <f>H151-G151</f>
        <v>0.2898263888888889</v>
      </c>
      <c r="J151" s="43">
        <v>0.3</v>
      </c>
      <c r="K151" s="2"/>
      <c r="L151" s="3">
        <f>J151-I151</f>
        <v>1.0173611111111092E-2</v>
      </c>
      <c r="M151" s="4">
        <f>F151/I151</f>
        <v>0</v>
      </c>
      <c r="N151" s="4">
        <f>I151/J151</f>
        <v>0.96608796296296306</v>
      </c>
    </row>
    <row r="152" spans="1:14" x14ac:dyDescent="0.3">
      <c r="A152" s="29">
        <v>46002</v>
      </c>
      <c r="B152" s="8">
        <f>YEAR(A152)</f>
        <v>2025</v>
      </c>
      <c r="C152" s="27" t="str">
        <f>TEXT(A152,"MMMM")</f>
        <v>dezembro</v>
      </c>
      <c r="D152" s="30" t="s">
        <v>19</v>
      </c>
      <c r="E152" s="30" t="s">
        <v>17</v>
      </c>
      <c r="F152" s="31">
        <v>3.9166666666666669E-2</v>
      </c>
      <c r="G152" s="31">
        <v>0.33738425925925924</v>
      </c>
      <c r="H152" s="31">
        <v>0.63500000000000001</v>
      </c>
      <c r="I152" s="43">
        <f>H152-G152</f>
        <v>0.29761574074074076</v>
      </c>
      <c r="J152" s="43">
        <v>0.3</v>
      </c>
      <c r="K152" s="2"/>
      <c r="L152" s="3">
        <f>J152-I152</f>
        <v>2.3842592592592249E-3</v>
      </c>
      <c r="M152" s="4">
        <f>F152/I152</f>
        <v>0.1316014622384693</v>
      </c>
      <c r="N152" s="4">
        <f>I152/J152</f>
        <v>0.99205246913580258</v>
      </c>
    </row>
    <row r="153" spans="1:14" x14ac:dyDescent="0.3">
      <c r="A153" s="29">
        <v>46002</v>
      </c>
      <c r="B153" s="8">
        <f>YEAR(A153)</f>
        <v>2025</v>
      </c>
      <c r="C153" s="27" t="str">
        <f>TEXT(A153,"MMMM")</f>
        <v>dezembro</v>
      </c>
      <c r="D153" s="30" t="s">
        <v>20</v>
      </c>
      <c r="E153" s="30" t="s">
        <v>21</v>
      </c>
      <c r="F153" s="31">
        <v>5.2222222222222225E-2</v>
      </c>
      <c r="G153" s="31">
        <v>0.33374999999999999</v>
      </c>
      <c r="H153" s="31">
        <v>0.63362268518518516</v>
      </c>
      <c r="I153" s="43">
        <f>H153-G153</f>
        <v>0.29987268518518517</v>
      </c>
      <c r="J153" s="43">
        <v>0.3</v>
      </c>
      <c r="K153" s="2"/>
      <c r="L153" s="3">
        <f>J153-I153</f>
        <v>1.2731481481481621E-4</v>
      </c>
      <c r="M153" s="4">
        <f>F153/I153</f>
        <v>0.17414797946659463</v>
      </c>
      <c r="N153" s="4">
        <f>I153/J153</f>
        <v>0.99957561728395061</v>
      </c>
    </row>
    <row r="154" spans="1:14" x14ac:dyDescent="0.3">
      <c r="A154" s="29">
        <v>46002</v>
      </c>
      <c r="B154" s="8">
        <f>YEAR(A154)</f>
        <v>2025</v>
      </c>
      <c r="C154" s="27" t="str">
        <f>TEXT(A154,"MMMM")</f>
        <v>dezembro</v>
      </c>
      <c r="D154" s="30" t="s">
        <v>69</v>
      </c>
      <c r="E154" s="30" t="s">
        <v>17</v>
      </c>
      <c r="F154" s="31">
        <v>3.502314814814815E-2</v>
      </c>
      <c r="G154" s="31">
        <v>0.33432870370370371</v>
      </c>
      <c r="H154" s="31">
        <v>0.63413194444444443</v>
      </c>
      <c r="I154" s="43">
        <f>H154-G154</f>
        <v>0.29980324074074072</v>
      </c>
      <c r="J154" s="43">
        <v>0.3</v>
      </c>
      <c r="K154" s="2"/>
      <c r="L154" s="3">
        <f>J154-I154</f>
        <v>1.9675925925927151E-4</v>
      </c>
      <c r="M154" s="4">
        <f>F154/I154</f>
        <v>0.1168204455082423</v>
      </c>
      <c r="N154" s="4">
        <f>I154/J154</f>
        <v>0.99934413580246906</v>
      </c>
    </row>
    <row r="155" spans="1:14" x14ac:dyDescent="0.3">
      <c r="A155" s="29">
        <v>46002</v>
      </c>
      <c r="B155" s="8">
        <f>YEAR(A155)</f>
        <v>2025</v>
      </c>
      <c r="C155" s="27" t="str">
        <f>TEXT(A155,"MMMM")</f>
        <v>dezembro</v>
      </c>
      <c r="D155" s="30" t="s">
        <v>22</v>
      </c>
      <c r="E155" s="30" t="s">
        <v>21</v>
      </c>
      <c r="F155" s="31">
        <v>3.8819444444444441E-2</v>
      </c>
      <c r="G155" s="31">
        <v>0.43965277777777778</v>
      </c>
      <c r="H155" s="31">
        <v>0.75</v>
      </c>
      <c r="I155" s="43">
        <f>H155-G155</f>
        <v>0.31034722222222222</v>
      </c>
      <c r="J155" s="43">
        <v>0.3</v>
      </c>
      <c r="K155" s="2">
        <f>I155-J155</f>
        <v>1.034722222222223E-2</v>
      </c>
      <c r="L155" s="3"/>
      <c r="M155" s="4">
        <f>F155/I155</f>
        <v>0.12508391138957259</v>
      </c>
      <c r="N155" s="4">
        <f>I155/J155</f>
        <v>1.0344907407407409</v>
      </c>
    </row>
    <row r="156" spans="1:14" x14ac:dyDescent="0.3">
      <c r="A156" s="29">
        <v>46002</v>
      </c>
      <c r="B156" s="8">
        <f>YEAR(A156)</f>
        <v>2025</v>
      </c>
      <c r="C156" s="27" t="str">
        <f>TEXT(A156,"MMMM")</f>
        <v>dezembro</v>
      </c>
      <c r="D156" s="30" t="s">
        <v>33</v>
      </c>
      <c r="E156" s="30" t="s">
        <v>34</v>
      </c>
      <c r="F156" s="31">
        <v>3.4236111111111113E-2</v>
      </c>
      <c r="G156" s="31">
        <v>0.33372685185185186</v>
      </c>
      <c r="H156" s="31">
        <v>0.66700231481481487</v>
      </c>
      <c r="I156" s="43">
        <f>H156-G156</f>
        <v>0.33327546296296301</v>
      </c>
      <c r="J156" s="43">
        <v>0.3</v>
      </c>
      <c r="K156" s="2">
        <f>I156-J156</f>
        <v>3.3275462962963021E-2</v>
      </c>
      <c r="L156" s="3"/>
      <c r="M156" s="4">
        <f>F156/I156</f>
        <v>0.10272616773745441</v>
      </c>
      <c r="N156" s="4">
        <f>I156/J156</f>
        <v>1.1109182098765433</v>
      </c>
    </row>
    <row r="157" spans="1:14" x14ac:dyDescent="0.3">
      <c r="A157" s="29">
        <v>46002</v>
      </c>
      <c r="B157" s="8">
        <f>YEAR(A157)</f>
        <v>2025</v>
      </c>
      <c r="C157" s="27" t="str">
        <f>TEXT(A157,"MMMM")</f>
        <v>dezembro</v>
      </c>
      <c r="D157" s="30" t="s">
        <v>31</v>
      </c>
      <c r="E157" s="30" t="s">
        <v>21</v>
      </c>
      <c r="F157" s="31">
        <v>4.9398148148148149E-2</v>
      </c>
      <c r="G157" s="31">
        <v>0.41230324074074076</v>
      </c>
      <c r="H157" s="31">
        <v>0.75039351851851854</v>
      </c>
      <c r="I157" s="43">
        <f>H157-G157</f>
        <v>0.33809027777777778</v>
      </c>
      <c r="J157" s="43">
        <v>0.3</v>
      </c>
      <c r="K157" s="2">
        <f>I157-J157</f>
        <v>3.8090277777777792E-2</v>
      </c>
      <c r="L157" s="3"/>
      <c r="M157" s="4">
        <f>F157/I157</f>
        <v>0.1461093423710246</v>
      </c>
      <c r="N157" s="4">
        <f>I157/J157</f>
        <v>1.1269675925925926</v>
      </c>
    </row>
    <row r="158" spans="1:14" x14ac:dyDescent="0.3">
      <c r="A158" s="29">
        <v>46002</v>
      </c>
      <c r="B158" s="8">
        <f>YEAR(A158)</f>
        <v>2025</v>
      </c>
      <c r="C158" s="27" t="str">
        <f>TEXT(A158,"MMMM")</f>
        <v>dezembro</v>
      </c>
      <c r="D158" s="30" t="s">
        <v>25</v>
      </c>
      <c r="E158" s="30" t="s">
        <v>21</v>
      </c>
      <c r="F158" s="31">
        <v>5.4027777777777779E-2</v>
      </c>
      <c r="G158" s="31">
        <v>0.33333333333333331</v>
      </c>
      <c r="H158" s="31">
        <v>0.64877314814814813</v>
      </c>
      <c r="I158" s="43">
        <f>H158-G158</f>
        <v>0.31543981481481481</v>
      </c>
      <c r="J158" s="43">
        <v>0.3</v>
      </c>
      <c r="K158" s="2">
        <f>I158-J158</f>
        <v>1.5439814814814823E-2</v>
      </c>
      <c r="L158" s="3"/>
      <c r="M158" s="4">
        <f>F158/I158</f>
        <v>0.17127761062596317</v>
      </c>
      <c r="N158" s="4">
        <f>I158/J158</f>
        <v>1.0514660493827162</v>
      </c>
    </row>
    <row r="159" spans="1:14" x14ac:dyDescent="0.3">
      <c r="A159" s="29">
        <v>46002</v>
      </c>
      <c r="B159" s="8">
        <f>YEAR(A159)</f>
        <v>2025</v>
      </c>
      <c r="C159" s="27" t="str">
        <f>TEXT(A159,"MMMM")</f>
        <v>dezembro</v>
      </c>
      <c r="D159" s="30" t="s">
        <v>26</v>
      </c>
      <c r="E159" s="30" t="s">
        <v>15</v>
      </c>
      <c r="F159" s="31">
        <v>3.6087962962962961E-2</v>
      </c>
      <c r="G159" s="31">
        <v>0.33341435185185186</v>
      </c>
      <c r="H159" s="31">
        <v>0.63542824074074078</v>
      </c>
      <c r="I159" s="43">
        <f>H159-G159</f>
        <v>0.30201388888888892</v>
      </c>
      <c r="J159" s="43">
        <v>0.3</v>
      </c>
      <c r="K159" s="2">
        <f>I159-J159</f>
        <v>2.0138888888889261E-3</v>
      </c>
      <c r="L159" s="3"/>
      <c r="M159" s="4">
        <f>F159/I159</f>
        <v>0.11949107074423237</v>
      </c>
      <c r="N159" s="4">
        <f>I159/J159</f>
        <v>1.0067129629629632</v>
      </c>
    </row>
    <row r="160" spans="1:14" x14ac:dyDescent="0.3">
      <c r="A160" s="29">
        <v>46002</v>
      </c>
      <c r="B160" s="8">
        <f>YEAR(A160)</f>
        <v>2025</v>
      </c>
      <c r="C160" s="27" t="str">
        <f>TEXT(A160,"MMMM")</f>
        <v>dezembro</v>
      </c>
      <c r="D160" s="30" t="s">
        <v>65</v>
      </c>
      <c r="E160" s="30" t="s">
        <v>14</v>
      </c>
      <c r="F160" s="31">
        <v>4.5185185185185182E-2</v>
      </c>
      <c r="G160" s="31">
        <v>0.3338888888888889</v>
      </c>
      <c r="H160" s="31">
        <v>0.63375000000000004</v>
      </c>
      <c r="I160" s="43">
        <f>H160-G160</f>
        <v>0.29986111111111113</v>
      </c>
      <c r="J160" s="43">
        <v>0.3</v>
      </c>
      <c r="K160" s="2"/>
      <c r="L160" s="3">
        <f>J160-I160</f>
        <v>1.3888888888885509E-4</v>
      </c>
      <c r="M160" s="4">
        <f>F160/I160</f>
        <v>0.15068704647213213</v>
      </c>
      <c r="N160" s="4">
        <f>I160/J160</f>
        <v>0.99953703703703711</v>
      </c>
    </row>
    <row r="161" spans="1:14" x14ac:dyDescent="0.3">
      <c r="A161" s="29">
        <v>46002</v>
      </c>
      <c r="B161" s="8">
        <f>YEAR(A161)</f>
        <v>2025</v>
      </c>
      <c r="C161" s="27" t="str">
        <f>TEXT(A161,"MMMM")</f>
        <v>dezembro</v>
      </c>
      <c r="D161" s="30" t="s">
        <v>27</v>
      </c>
      <c r="E161" s="30" t="s">
        <v>17</v>
      </c>
      <c r="F161" s="31">
        <v>3.951388888888889E-2</v>
      </c>
      <c r="G161" s="31">
        <v>0.33392361111111113</v>
      </c>
      <c r="H161" s="31">
        <v>0.63431712962962961</v>
      </c>
      <c r="I161" s="43">
        <f>H161-G161</f>
        <v>0.30039351851851848</v>
      </c>
      <c r="J161" s="43">
        <v>0.3</v>
      </c>
      <c r="K161" s="2">
        <f>I161-J161</f>
        <v>3.9351851851848751E-4</v>
      </c>
      <c r="L161" s="3"/>
      <c r="M161" s="4">
        <f>F161/I161</f>
        <v>0.13154041766201743</v>
      </c>
      <c r="N161" s="4">
        <f>I161/J161</f>
        <v>1.0013117283950617</v>
      </c>
    </row>
    <row r="162" spans="1:14" x14ac:dyDescent="0.3">
      <c r="A162" s="29">
        <v>46002</v>
      </c>
      <c r="B162" s="8">
        <f>YEAR(A162)</f>
        <v>2025</v>
      </c>
      <c r="C162" s="27" t="str">
        <f>TEXT(A162,"MMMM")</f>
        <v>dezembro</v>
      </c>
      <c r="D162" s="30" t="s">
        <v>68</v>
      </c>
      <c r="E162" s="30" t="s">
        <v>34</v>
      </c>
      <c r="F162" s="31">
        <v>4.4108796296296299E-2</v>
      </c>
      <c r="G162" s="31">
        <v>0.44189814814814815</v>
      </c>
      <c r="H162" s="31">
        <v>0.75041666666666662</v>
      </c>
      <c r="I162" s="43">
        <f>H162-G162</f>
        <v>0.30851851851851847</v>
      </c>
      <c r="J162" s="43">
        <v>0.3</v>
      </c>
      <c r="K162" s="2">
        <f>I162-J162</f>
        <v>8.5185185185184809E-3</v>
      </c>
      <c r="L162" s="3"/>
      <c r="M162" s="4">
        <f>F162/I162</f>
        <v>0.1429696878751501</v>
      </c>
      <c r="N162" s="4">
        <f>I162/J162</f>
        <v>1.028395061728395</v>
      </c>
    </row>
    <row r="163" spans="1:14" x14ac:dyDescent="0.3">
      <c r="A163" s="29">
        <v>46002</v>
      </c>
      <c r="B163" s="8">
        <f>YEAR(A163)</f>
        <v>2025</v>
      </c>
      <c r="C163" s="27" t="str">
        <f>TEXT(A163,"MMMM")</f>
        <v>dezembro</v>
      </c>
      <c r="D163" s="30" t="s">
        <v>32</v>
      </c>
      <c r="E163" s="30" t="s">
        <v>34</v>
      </c>
      <c r="F163" s="31">
        <v>3.8634259259259257E-2</v>
      </c>
      <c r="G163" s="31">
        <v>0.42958333333333332</v>
      </c>
      <c r="H163" s="31">
        <v>0.75027777777777782</v>
      </c>
      <c r="I163" s="43">
        <f>H163-G163</f>
        <v>0.3206944444444445</v>
      </c>
      <c r="J163" s="43">
        <v>0.3</v>
      </c>
      <c r="K163" s="2">
        <f>I163-J163</f>
        <v>2.0694444444444515E-2</v>
      </c>
      <c r="L163" s="3"/>
      <c r="M163" s="4">
        <f>F163/I163</f>
        <v>0.12047062220297385</v>
      </c>
      <c r="N163" s="4">
        <f>I163/J163</f>
        <v>1.0689814814814818</v>
      </c>
    </row>
    <row r="164" spans="1:14" x14ac:dyDescent="0.3">
      <c r="A164" s="29">
        <v>46002</v>
      </c>
      <c r="B164" s="8">
        <f>YEAR(A164)</f>
        <v>2025</v>
      </c>
      <c r="C164" s="27" t="str">
        <f>TEXT(A164,"MMMM")</f>
        <v>dezembro</v>
      </c>
      <c r="D164" s="30" t="s">
        <v>28</v>
      </c>
      <c r="E164" s="30" t="s">
        <v>14</v>
      </c>
      <c r="F164" s="31">
        <v>0</v>
      </c>
      <c r="G164" s="31">
        <v>0.34437499999999999</v>
      </c>
      <c r="H164" s="31">
        <v>0.65348379629629627</v>
      </c>
      <c r="I164" s="43">
        <f>H164-G164</f>
        <v>0.30910879629629628</v>
      </c>
      <c r="J164" s="43">
        <v>0.3</v>
      </c>
      <c r="K164" s="2">
        <f>I164-J164</f>
        <v>9.1087962962962954E-3</v>
      </c>
      <c r="L164" s="3"/>
      <c r="M164" s="4">
        <f>F164/I164</f>
        <v>0</v>
      </c>
      <c r="N164" s="4">
        <f>I164/J164</f>
        <v>1.0303626543209876</v>
      </c>
    </row>
    <row r="165" spans="1:14" x14ac:dyDescent="0.3">
      <c r="A165" s="29">
        <v>46002</v>
      </c>
      <c r="B165" s="8">
        <f>YEAR(A165)</f>
        <v>2025</v>
      </c>
      <c r="C165" s="27" t="str">
        <f>TEXT(A165,"MMMM")</f>
        <v>dezembro</v>
      </c>
      <c r="D165" s="30" t="s">
        <v>29</v>
      </c>
      <c r="E165" s="30" t="s">
        <v>14</v>
      </c>
      <c r="F165" s="31">
        <v>0</v>
      </c>
      <c r="G165" s="31">
        <v>0.33590277777777777</v>
      </c>
      <c r="H165" s="31">
        <v>0.64105324074074077</v>
      </c>
      <c r="I165" s="43">
        <f>H165-G165</f>
        <v>0.305150462962963</v>
      </c>
      <c r="J165" s="43">
        <v>0.3</v>
      </c>
      <c r="K165" s="2">
        <f>I165-J165</f>
        <v>5.1504629629630094E-3</v>
      </c>
      <c r="L165" s="3"/>
      <c r="M165" s="4">
        <f>F165/I165</f>
        <v>0</v>
      </c>
      <c r="N165" s="4">
        <f>I165/J165</f>
        <v>1.0171682098765433</v>
      </c>
    </row>
    <row r="166" spans="1:14" x14ac:dyDescent="0.3">
      <c r="A166" s="29">
        <v>46003</v>
      </c>
      <c r="B166" s="8">
        <f>YEAR(A166)</f>
        <v>2025</v>
      </c>
      <c r="C166" s="27" t="str">
        <f>TEXT(A166,"MMMM")</f>
        <v>dezembro</v>
      </c>
      <c r="D166" s="30" t="s">
        <v>16</v>
      </c>
      <c r="E166" s="30" t="s">
        <v>34</v>
      </c>
      <c r="F166" s="31">
        <v>4.0844907407407406E-2</v>
      </c>
      <c r="G166" s="31">
        <v>0.33381944444444445</v>
      </c>
      <c r="H166" s="31">
        <v>0.63381944444444449</v>
      </c>
      <c r="I166" s="43">
        <f>H166-G166</f>
        <v>0.30000000000000004</v>
      </c>
      <c r="J166" s="43">
        <v>0.3</v>
      </c>
      <c r="K166" s="2">
        <f>I166-J166</f>
        <v>0</v>
      </c>
      <c r="L166" s="3"/>
      <c r="M166" s="4">
        <f>F166/I166</f>
        <v>0.13614969135802465</v>
      </c>
      <c r="N166" s="4">
        <f>I166/J166</f>
        <v>1.0000000000000002</v>
      </c>
    </row>
    <row r="167" spans="1:14" x14ac:dyDescent="0.3">
      <c r="A167" s="29">
        <v>46003</v>
      </c>
      <c r="B167" s="8">
        <f>YEAR(A167)</f>
        <v>2025</v>
      </c>
      <c r="C167" s="27" t="str">
        <f>TEXT(A167,"MMMM")</f>
        <v>dezembro</v>
      </c>
      <c r="D167" s="30" t="s">
        <v>18</v>
      </c>
      <c r="E167" s="30" t="s">
        <v>14</v>
      </c>
      <c r="F167" s="31">
        <v>0</v>
      </c>
      <c r="G167" s="31">
        <v>0.34900462962962964</v>
      </c>
      <c r="H167" s="31">
        <v>0.64116898148148149</v>
      </c>
      <c r="I167" s="43">
        <f>H167-G167</f>
        <v>0.29216435185185186</v>
      </c>
      <c r="J167" s="43">
        <v>0.3</v>
      </c>
      <c r="K167" s="2"/>
      <c r="L167" s="3">
        <f>J167-I167</f>
        <v>7.8356481481481333E-3</v>
      </c>
      <c r="M167" s="4">
        <f>F167/I167</f>
        <v>0</v>
      </c>
      <c r="N167" s="4">
        <f>I167/J167</f>
        <v>0.97388117283950626</v>
      </c>
    </row>
    <row r="168" spans="1:14" x14ac:dyDescent="0.3">
      <c r="A168" s="29">
        <v>46003</v>
      </c>
      <c r="B168" s="8">
        <f>YEAR(A168)</f>
        <v>2025</v>
      </c>
      <c r="C168" s="27" t="str">
        <f>TEXT(A168,"MMMM")</f>
        <v>dezembro</v>
      </c>
      <c r="D168" s="30" t="s">
        <v>19</v>
      </c>
      <c r="E168" s="30" t="s">
        <v>17</v>
      </c>
      <c r="F168" s="31">
        <v>4.4409722222222225E-2</v>
      </c>
      <c r="G168" s="31">
        <v>0.33545138888888887</v>
      </c>
      <c r="H168" s="31">
        <v>0.63435185185185183</v>
      </c>
      <c r="I168" s="43">
        <f>H168-G168</f>
        <v>0.29890046296296297</v>
      </c>
      <c r="J168" s="43">
        <v>0.3</v>
      </c>
      <c r="K168" s="2"/>
      <c r="L168" s="3">
        <f>J168-I168</f>
        <v>1.0995370370370239E-3</v>
      </c>
      <c r="M168" s="4">
        <f>F168/I168</f>
        <v>0.14857696030977735</v>
      </c>
      <c r="N168" s="4">
        <f>I168/J168</f>
        <v>0.99633487654320996</v>
      </c>
    </row>
    <row r="169" spans="1:14" x14ac:dyDescent="0.3">
      <c r="A169" s="29">
        <v>46003</v>
      </c>
      <c r="B169" s="8">
        <f>YEAR(A169)</f>
        <v>2025</v>
      </c>
      <c r="C169" s="27" t="str">
        <f>TEXT(A169,"MMMM")</f>
        <v>dezembro</v>
      </c>
      <c r="D169" s="30" t="s">
        <v>69</v>
      </c>
      <c r="E169" s="30" t="s">
        <v>17</v>
      </c>
      <c r="F169" s="31">
        <v>4.3020833333333335E-2</v>
      </c>
      <c r="G169" s="31">
        <v>0.33513888888888888</v>
      </c>
      <c r="H169" s="31">
        <v>0.63482638888888887</v>
      </c>
      <c r="I169" s="43">
        <f>H169-G169</f>
        <v>0.2996875</v>
      </c>
      <c r="J169" s="43">
        <v>0.3</v>
      </c>
      <c r="K169" s="2"/>
      <c r="L169" s="3">
        <f>J169-I169</f>
        <v>3.1249999999999334E-4</v>
      </c>
      <c r="M169" s="4">
        <f>F169/I169</f>
        <v>0.14355231143552313</v>
      </c>
      <c r="N169" s="4">
        <f>I169/J169</f>
        <v>0.99895833333333339</v>
      </c>
    </row>
    <row r="170" spans="1:14" x14ac:dyDescent="0.3">
      <c r="A170" s="29">
        <v>46003</v>
      </c>
      <c r="B170" s="8">
        <f>YEAR(A170)</f>
        <v>2025</v>
      </c>
      <c r="C170" s="27" t="str">
        <f>TEXT(A170,"MMMM")</f>
        <v>dezembro</v>
      </c>
      <c r="D170" s="30" t="s">
        <v>22</v>
      </c>
      <c r="E170" s="30" t="s">
        <v>21</v>
      </c>
      <c r="F170" s="31">
        <v>3.3831018518518517E-2</v>
      </c>
      <c r="G170" s="31">
        <v>0.38899305555555558</v>
      </c>
      <c r="H170" s="31">
        <v>0.75190972222222219</v>
      </c>
      <c r="I170" s="43">
        <f>H170-G170</f>
        <v>0.36291666666666661</v>
      </c>
      <c r="J170" s="43">
        <v>0.3</v>
      </c>
      <c r="K170" s="2">
        <f>I170-J170</f>
        <v>6.2916666666666621E-2</v>
      </c>
      <c r="L170" s="3"/>
      <c r="M170" s="4">
        <f>F170/I170</f>
        <v>9.3219798443679058E-2</v>
      </c>
      <c r="N170" s="4">
        <f>I170/J170</f>
        <v>1.2097222222222221</v>
      </c>
    </row>
    <row r="171" spans="1:14" x14ac:dyDescent="0.3">
      <c r="A171" s="29">
        <v>46003</v>
      </c>
      <c r="B171" s="8">
        <f>YEAR(A171)</f>
        <v>2025</v>
      </c>
      <c r="C171" s="27" t="str">
        <f>TEXT(A171,"MMMM")</f>
        <v>dezembro</v>
      </c>
      <c r="D171" s="30" t="s">
        <v>33</v>
      </c>
      <c r="E171" s="30" t="s">
        <v>34</v>
      </c>
      <c r="F171" s="31">
        <v>3.2974537037037038E-2</v>
      </c>
      <c r="G171" s="31">
        <v>0.33372685185185186</v>
      </c>
      <c r="H171" s="31">
        <v>0.63390046296296299</v>
      </c>
      <c r="I171" s="43">
        <f>H171-G171</f>
        <v>0.30017361111111113</v>
      </c>
      <c r="J171" s="43">
        <v>0.3</v>
      </c>
      <c r="K171" s="2">
        <f>I171-J171</f>
        <v>1.7361111111113825E-4</v>
      </c>
      <c r="L171" s="3"/>
      <c r="M171" s="4">
        <f>F171/I171</f>
        <v>0.10985155195681512</v>
      </c>
      <c r="N171" s="4">
        <f>I171/J171</f>
        <v>1.0005787037037037</v>
      </c>
    </row>
    <row r="172" spans="1:14" x14ac:dyDescent="0.3">
      <c r="A172" s="29">
        <v>46003</v>
      </c>
      <c r="B172" s="8">
        <f>YEAR(A172)</f>
        <v>2025</v>
      </c>
      <c r="C172" s="27" t="str">
        <f>TEXT(A172,"MMMM")</f>
        <v>dezembro</v>
      </c>
      <c r="D172" s="30" t="s">
        <v>23</v>
      </c>
      <c r="E172" s="30" t="s">
        <v>17</v>
      </c>
      <c r="F172" s="31">
        <v>4.4166666666666667E-2</v>
      </c>
      <c r="G172" s="31">
        <v>0.4138310185185185</v>
      </c>
      <c r="H172" s="31">
        <v>0.75033564814814813</v>
      </c>
      <c r="I172" s="43">
        <f>H172-G172</f>
        <v>0.33650462962962963</v>
      </c>
      <c r="J172" s="43">
        <v>0.3</v>
      </c>
      <c r="K172" s="2">
        <f>I172-J172</f>
        <v>3.6504629629629637E-2</v>
      </c>
      <c r="L172" s="3"/>
      <c r="M172" s="4">
        <f>F172/I172</f>
        <v>0.13125128981220335</v>
      </c>
      <c r="N172" s="4">
        <f>I172/J172</f>
        <v>1.1216820987654321</v>
      </c>
    </row>
    <row r="173" spans="1:14" x14ac:dyDescent="0.3">
      <c r="A173" s="29">
        <v>46003</v>
      </c>
      <c r="B173" s="8">
        <f>YEAR(A173)</f>
        <v>2025</v>
      </c>
      <c r="C173" s="27" t="str">
        <f>TEXT(A173,"MMMM")</f>
        <v>dezembro</v>
      </c>
      <c r="D173" s="30" t="s">
        <v>31</v>
      </c>
      <c r="E173" s="30" t="s">
        <v>21</v>
      </c>
      <c r="F173" s="31">
        <v>4.0937500000000002E-2</v>
      </c>
      <c r="G173" s="31">
        <v>0.44938657407407406</v>
      </c>
      <c r="H173" s="31">
        <v>0.75035879629629632</v>
      </c>
      <c r="I173" s="43">
        <f>H173-G173</f>
        <v>0.30097222222222225</v>
      </c>
      <c r="J173" s="43">
        <v>0.3</v>
      </c>
      <c r="K173" s="2">
        <f>I173-J173</f>
        <v>9.7222222222226318E-4</v>
      </c>
      <c r="L173" s="3"/>
      <c r="M173" s="4">
        <f>F173/I173</f>
        <v>0.13601753576372866</v>
      </c>
      <c r="N173" s="4">
        <f>I173/J173</f>
        <v>1.0032407407407409</v>
      </c>
    </row>
    <row r="174" spans="1:14" x14ac:dyDescent="0.3">
      <c r="A174" s="29">
        <v>46003</v>
      </c>
      <c r="B174" s="8">
        <f>YEAR(A174)</f>
        <v>2025</v>
      </c>
      <c r="C174" s="27" t="str">
        <f>TEXT(A174,"MMMM")</f>
        <v>dezembro</v>
      </c>
      <c r="D174" s="30" t="s">
        <v>25</v>
      </c>
      <c r="E174" s="30" t="s">
        <v>21</v>
      </c>
      <c r="F174" s="31">
        <v>5.0590277777777776E-2</v>
      </c>
      <c r="G174" s="31">
        <v>0.33333333333333331</v>
      </c>
      <c r="H174" s="31">
        <v>0.6337962962962963</v>
      </c>
      <c r="I174" s="43">
        <f>H174-G174</f>
        <v>0.30046296296296299</v>
      </c>
      <c r="J174" s="43">
        <v>0.3</v>
      </c>
      <c r="K174" s="2">
        <f>I174-J174</f>
        <v>4.6296296296299833E-4</v>
      </c>
      <c r="L174" s="3"/>
      <c r="M174" s="4">
        <f>F174/I174</f>
        <v>0.16837442218798149</v>
      </c>
      <c r="N174" s="4">
        <f>I174/J174</f>
        <v>1.0015432098765433</v>
      </c>
    </row>
    <row r="175" spans="1:14" x14ac:dyDescent="0.3">
      <c r="A175" s="29">
        <v>46003</v>
      </c>
      <c r="B175" s="8">
        <f>YEAR(A175)</f>
        <v>2025</v>
      </c>
      <c r="C175" s="27" t="str">
        <f>TEXT(A175,"MMMM")</f>
        <v>dezembro</v>
      </c>
      <c r="D175" s="30" t="s">
        <v>26</v>
      </c>
      <c r="E175" s="30" t="s">
        <v>15</v>
      </c>
      <c r="F175" s="31">
        <v>3.2418981481481479E-2</v>
      </c>
      <c r="G175" s="31">
        <v>0.33334490740740741</v>
      </c>
      <c r="H175" s="31">
        <v>0.63475694444444442</v>
      </c>
      <c r="I175" s="43">
        <f>H175-G175</f>
        <v>0.30141203703703701</v>
      </c>
      <c r="J175" s="43">
        <v>0.3</v>
      </c>
      <c r="K175" s="2">
        <f>I175-J175</f>
        <v>1.4120370370370172E-3</v>
      </c>
      <c r="L175" s="3"/>
      <c r="M175" s="4">
        <f>F175/I175</f>
        <v>0.10755702327010215</v>
      </c>
      <c r="N175" s="4">
        <f>I175/J175</f>
        <v>1.0047067901234568</v>
      </c>
    </row>
    <row r="176" spans="1:14" x14ac:dyDescent="0.3">
      <c r="A176" s="29">
        <v>46003</v>
      </c>
      <c r="B176" s="8">
        <f>YEAR(A176)</f>
        <v>2025</v>
      </c>
      <c r="C176" s="27" t="str">
        <f>TEXT(A176,"MMMM")</f>
        <v>dezembro</v>
      </c>
      <c r="D176" s="30" t="s">
        <v>65</v>
      </c>
      <c r="E176" s="30" t="s">
        <v>14</v>
      </c>
      <c r="F176" s="31">
        <v>4.2407407407407408E-2</v>
      </c>
      <c r="G176" s="31">
        <v>0.33387731481481481</v>
      </c>
      <c r="H176" s="31">
        <v>0.63396990740740744</v>
      </c>
      <c r="I176" s="43">
        <f>H176-G176</f>
        <v>0.30009259259259263</v>
      </c>
      <c r="J176" s="43">
        <v>0.3</v>
      </c>
      <c r="K176" s="2">
        <f>I176-J176</f>
        <v>9.2592592592644074E-5</v>
      </c>
      <c r="L176" s="3"/>
      <c r="M176" s="4">
        <f>F176/I176</f>
        <v>0.14131440913298363</v>
      </c>
      <c r="N176" s="4">
        <f>I176/J176</f>
        <v>1.0003086419753089</v>
      </c>
    </row>
    <row r="177" spans="1:14" x14ac:dyDescent="0.3">
      <c r="A177" s="29">
        <v>46003</v>
      </c>
      <c r="B177" s="8">
        <f>YEAR(A177)</f>
        <v>2025</v>
      </c>
      <c r="C177" s="27" t="str">
        <f>TEXT(A177,"MMMM")</f>
        <v>dezembro</v>
      </c>
      <c r="D177" s="30" t="s">
        <v>27</v>
      </c>
      <c r="E177" s="30" t="s">
        <v>17</v>
      </c>
      <c r="F177" s="31">
        <v>3.5717592592592592E-2</v>
      </c>
      <c r="G177" s="31">
        <v>0.33406249999999998</v>
      </c>
      <c r="H177" s="31">
        <v>0.63435185185185183</v>
      </c>
      <c r="I177" s="43">
        <f>H177-G177</f>
        <v>0.30028935185185185</v>
      </c>
      <c r="J177" s="43">
        <v>0.3</v>
      </c>
      <c r="K177" s="2">
        <f>I177-J177</f>
        <v>2.8935185185186008E-4</v>
      </c>
      <c r="L177" s="3"/>
      <c r="M177" s="4">
        <f>F177/I177</f>
        <v>0.11894391983041049</v>
      </c>
      <c r="N177" s="4">
        <f>I177/J177</f>
        <v>1.0009645061728396</v>
      </c>
    </row>
    <row r="178" spans="1:14" x14ac:dyDescent="0.3">
      <c r="A178" s="29">
        <v>46003</v>
      </c>
      <c r="B178" s="8">
        <f>YEAR(A178)</f>
        <v>2025</v>
      </c>
      <c r="C178" s="27" t="str">
        <f>TEXT(A178,"MMMM")</f>
        <v>dezembro</v>
      </c>
      <c r="D178" s="30" t="s">
        <v>68</v>
      </c>
      <c r="E178" s="30" t="s">
        <v>34</v>
      </c>
      <c r="F178" s="31">
        <v>4.4861111111111109E-2</v>
      </c>
      <c r="G178" s="31">
        <v>0.46120370370370373</v>
      </c>
      <c r="H178" s="31">
        <v>0.75040509259259258</v>
      </c>
      <c r="I178" s="43">
        <f>H178-G178</f>
        <v>0.28920138888888886</v>
      </c>
      <c r="J178" s="43">
        <v>0.3</v>
      </c>
      <c r="K178" s="2"/>
      <c r="L178" s="3">
        <f>J178-I178</f>
        <v>1.0798611111111134E-2</v>
      </c>
      <c r="M178" s="4">
        <f>F178/I178</f>
        <v>0.15512066274462721</v>
      </c>
      <c r="N178" s="4">
        <f>I178/J178</f>
        <v>0.96400462962962952</v>
      </c>
    </row>
    <row r="179" spans="1:14" x14ac:dyDescent="0.3">
      <c r="A179" s="29">
        <v>46003</v>
      </c>
      <c r="B179" s="8">
        <f>YEAR(A179)</f>
        <v>2025</v>
      </c>
      <c r="C179" s="27" t="str">
        <f>TEXT(A179,"MMMM")</f>
        <v>dezembro</v>
      </c>
      <c r="D179" s="30" t="s">
        <v>32</v>
      </c>
      <c r="E179" s="30" t="s">
        <v>34</v>
      </c>
      <c r="F179" s="31">
        <v>4.8969907407407406E-2</v>
      </c>
      <c r="G179" s="31">
        <v>0.40622685185185187</v>
      </c>
      <c r="H179" s="31">
        <v>0.75056712962962968</v>
      </c>
      <c r="I179" s="43">
        <f>H179-G179</f>
        <v>0.34434027777777781</v>
      </c>
      <c r="J179" s="43">
        <v>0.3</v>
      </c>
      <c r="K179" s="2">
        <f>I179-J179</f>
        <v>4.4340277777777826E-2</v>
      </c>
      <c r="L179" s="3"/>
      <c r="M179" s="4">
        <f>F179/I179</f>
        <v>0.14221370710228226</v>
      </c>
      <c r="N179" s="4">
        <f>I179/J179</f>
        <v>1.1478009259259261</v>
      </c>
    </row>
    <row r="180" spans="1:14" x14ac:dyDescent="0.3">
      <c r="A180" s="29">
        <v>46003</v>
      </c>
      <c r="B180" s="8">
        <f>YEAR(A180)</f>
        <v>2025</v>
      </c>
      <c r="C180" s="27" t="str">
        <f>TEXT(A180,"MMMM")</f>
        <v>dezembro</v>
      </c>
      <c r="D180" s="30" t="s">
        <v>30</v>
      </c>
      <c r="E180" s="30" t="s">
        <v>34</v>
      </c>
      <c r="F180" s="31">
        <v>5.0266203703703702E-2</v>
      </c>
      <c r="G180" s="31">
        <v>0.33424768518518516</v>
      </c>
      <c r="H180" s="31">
        <v>0.63471064814814815</v>
      </c>
      <c r="I180" s="43">
        <f>H180-G180</f>
        <v>0.30046296296296299</v>
      </c>
      <c r="J180" s="43">
        <v>0.3</v>
      </c>
      <c r="K180" s="2">
        <f>I180-J180</f>
        <v>4.6296296296299833E-4</v>
      </c>
      <c r="L180" s="3"/>
      <c r="M180" s="4">
        <f>F180/I180</f>
        <v>0.16729583975346685</v>
      </c>
      <c r="N180" s="4">
        <f>I180/J180</f>
        <v>1.0015432098765433</v>
      </c>
    </row>
    <row r="181" spans="1:14" x14ac:dyDescent="0.3">
      <c r="A181" s="29">
        <v>46003</v>
      </c>
      <c r="B181" s="8">
        <f>YEAR(A181)</f>
        <v>2025</v>
      </c>
      <c r="C181" s="27" t="str">
        <f>TEXT(A181,"MMMM")</f>
        <v>dezembro</v>
      </c>
      <c r="D181" s="30" t="s">
        <v>28</v>
      </c>
      <c r="E181" s="30" t="s">
        <v>14</v>
      </c>
      <c r="F181" s="31">
        <v>0</v>
      </c>
      <c r="G181" s="31">
        <v>0.35054398148148147</v>
      </c>
      <c r="H181" s="31">
        <v>0.67072916666666671</v>
      </c>
      <c r="I181" s="43">
        <f>H181-G181</f>
        <v>0.32018518518518524</v>
      </c>
      <c r="J181" s="43">
        <v>0.3</v>
      </c>
      <c r="K181" s="2">
        <f>I181-J181</f>
        <v>2.018518518518525E-2</v>
      </c>
      <c r="L181" s="3"/>
      <c r="M181" s="4">
        <f>F181/I181</f>
        <v>0</v>
      </c>
      <c r="N181" s="4">
        <f>I181/J181</f>
        <v>1.0672839506172842</v>
      </c>
    </row>
    <row r="182" spans="1:14" x14ac:dyDescent="0.3">
      <c r="A182" s="29">
        <v>46003</v>
      </c>
      <c r="B182" s="8">
        <f>YEAR(A182)</f>
        <v>2025</v>
      </c>
      <c r="C182" s="27" t="str">
        <f>TEXT(A182,"MMMM")</f>
        <v>dezembro</v>
      </c>
      <c r="D182" s="30" t="s">
        <v>29</v>
      </c>
      <c r="E182" s="30" t="s">
        <v>14</v>
      </c>
      <c r="F182" s="31">
        <v>0</v>
      </c>
      <c r="G182" s="31">
        <v>0.33334490740740741</v>
      </c>
      <c r="H182" s="31">
        <v>0.64135416666666667</v>
      </c>
      <c r="I182" s="43">
        <f>H182-G182</f>
        <v>0.30800925925925926</v>
      </c>
      <c r="J182" s="43">
        <v>0.3</v>
      </c>
      <c r="K182" s="2">
        <f>I182-J182</f>
        <v>8.0092592592592715E-3</v>
      </c>
      <c r="L182" s="3"/>
      <c r="M182" s="4">
        <f>F182/I182</f>
        <v>0</v>
      </c>
      <c r="N182" s="4">
        <f>I182/J182</f>
        <v>1.0266975308641977</v>
      </c>
    </row>
    <row r="183" spans="1:14" x14ac:dyDescent="0.3">
      <c r="A183" s="29">
        <v>46006</v>
      </c>
      <c r="B183" s="8">
        <f>YEAR(A183)</f>
        <v>2025</v>
      </c>
      <c r="C183" s="27" t="str">
        <f>TEXT(A183,"MMMM")</f>
        <v>dezembro</v>
      </c>
      <c r="D183" s="30" t="s">
        <v>47</v>
      </c>
      <c r="E183" s="30" t="s">
        <v>17</v>
      </c>
      <c r="F183" s="31">
        <v>4.3263888888888886E-2</v>
      </c>
      <c r="G183" s="31">
        <v>0.51765046296296291</v>
      </c>
      <c r="H183" s="31">
        <v>0.75019675925925922</v>
      </c>
      <c r="I183" s="43">
        <f>H183-G183</f>
        <v>0.23254629629629631</v>
      </c>
      <c r="J183" s="43">
        <v>0.25</v>
      </c>
      <c r="K183" s="2"/>
      <c r="L183" s="3">
        <f>J183-I183</f>
        <v>1.7453703703703694E-2</v>
      </c>
      <c r="M183" s="4">
        <f>F183/I183</f>
        <v>0.18604419669520206</v>
      </c>
      <c r="N183" s="4">
        <f>I183/J183</f>
        <v>0.93018518518518523</v>
      </c>
    </row>
    <row r="184" spans="1:14" x14ac:dyDescent="0.3">
      <c r="A184" s="29">
        <v>46006</v>
      </c>
      <c r="B184" s="8">
        <f>YEAR(A184)</f>
        <v>2025</v>
      </c>
      <c r="C184" s="27" t="str">
        <f>TEXT(A184,"MMMM")</f>
        <v>dezembro</v>
      </c>
      <c r="D184" s="30" t="s">
        <v>18</v>
      </c>
      <c r="E184" s="30" t="s">
        <v>14</v>
      </c>
      <c r="F184" s="31">
        <v>0</v>
      </c>
      <c r="G184" s="31">
        <v>0.33981481481481479</v>
      </c>
      <c r="H184" s="31">
        <v>0.67385416666666664</v>
      </c>
      <c r="I184" s="43">
        <f>H184-G184</f>
        <v>0.33403935185185185</v>
      </c>
      <c r="J184" s="43">
        <v>0.3</v>
      </c>
      <c r="K184" s="2">
        <f>I184-J184</f>
        <v>3.4039351851851862E-2</v>
      </c>
      <c r="L184" s="3"/>
      <c r="M184" s="4">
        <f>F184/I184</f>
        <v>0</v>
      </c>
      <c r="N184" s="4">
        <f>I184/J184</f>
        <v>1.1134645061728397</v>
      </c>
    </row>
    <row r="185" spans="1:14" x14ac:dyDescent="0.3">
      <c r="A185" s="29">
        <v>46006</v>
      </c>
      <c r="B185" s="8">
        <f>YEAR(A185)</f>
        <v>2025</v>
      </c>
      <c r="C185" s="27" t="str">
        <f>TEXT(A185,"MMMM")</f>
        <v>dezembro</v>
      </c>
      <c r="D185" s="30" t="s">
        <v>19</v>
      </c>
      <c r="E185" s="30" t="s">
        <v>17</v>
      </c>
      <c r="F185" s="31">
        <v>4.8252314814814817E-2</v>
      </c>
      <c r="G185" s="31">
        <v>0.33799768518518519</v>
      </c>
      <c r="H185" s="31">
        <v>0.66681712962962958</v>
      </c>
      <c r="I185" s="43">
        <f>H185-G185</f>
        <v>0.32881944444444439</v>
      </c>
      <c r="J185" s="43">
        <v>0.3</v>
      </c>
      <c r="K185" s="2">
        <f>I185-J185</f>
        <v>2.8819444444444398E-2</v>
      </c>
      <c r="L185" s="3"/>
      <c r="M185" s="4">
        <f>F185/I185</f>
        <v>0.14674410418866599</v>
      </c>
      <c r="N185" s="4">
        <f>I185/J185</f>
        <v>1.0960648148148147</v>
      </c>
    </row>
    <row r="186" spans="1:14" x14ac:dyDescent="0.3">
      <c r="A186" s="29">
        <v>46006</v>
      </c>
      <c r="B186" s="8">
        <f>YEAR(A186)</f>
        <v>2025</v>
      </c>
      <c r="C186" s="27" t="str">
        <f>TEXT(A186,"MMMM")</f>
        <v>dezembro</v>
      </c>
      <c r="D186" s="30" t="s">
        <v>20</v>
      </c>
      <c r="E186" s="30" t="s">
        <v>21</v>
      </c>
      <c r="F186" s="31">
        <v>4.8032407407407406E-2</v>
      </c>
      <c r="G186" s="31">
        <v>0.33688657407407407</v>
      </c>
      <c r="H186" s="31">
        <v>0.63954861111111116</v>
      </c>
      <c r="I186" s="43">
        <f>H186-G186</f>
        <v>0.30266203703703709</v>
      </c>
      <c r="J186" s="43">
        <v>0.3</v>
      </c>
      <c r="K186" s="2">
        <f>I186-J186</f>
        <v>2.6620370370371016E-3</v>
      </c>
      <c r="L186" s="3"/>
      <c r="M186" s="4">
        <f>F186/I186</f>
        <v>0.15869980879541107</v>
      </c>
      <c r="N186" s="4">
        <f>I186/J186</f>
        <v>1.0088734567901236</v>
      </c>
    </row>
    <row r="187" spans="1:14" x14ac:dyDescent="0.3">
      <c r="A187" s="29">
        <v>46006</v>
      </c>
      <c r="B187" s="8">
        <f>YEAR(A187)</f>
        <v>2025</v>
      </c>
      <c r="C187" s="27" t="str">
        <f>TEXT(A187,"MMMM")</f>
        <v>dezembro</v>
      </c>
      <c r="D187" s="30" t="s">
        <v>69</v>
      </c>
      <c r="E187" s="30" t="s">
        <v>17</v>
      </c>
      <c r="F187" s="31">
        <v>3.8935185185185184E-2</v>
      </c>
      <c r="G187" s="31">
        <v>0.33910879629629631</v>
      </c>
      <c r="H187" s="31">
        <v>0.63958333333333328</v>
      </c>
      <c r="I187" s="43">
        <f>H187-G187</f>
        <v>0.30047453703703697</v>
      </c>
      <c r="J187" s="43">
        <v>0.3</v>
      </c>
      <c r="K187" s="2">
        <f>I187-J187</f>
        <v>4.7453703703698169E-4</v>
      </c>
      <c r="L187" s="3"/>
      <c r="M187" s="4">
        <f>F187/I187</f>
        <v>0.12957898386040601</v>
      </c>
      <c r="N187" s="4">
        <f>I187/J187</f>
        <v>1.0015817901234567</v>
      </c>
    </row>
    <row r="188" spans="1:14" x14ac:dyDescent="0.3">
      <c r="A188" s="29">
        <v>46006</v>
      </c>
      <c r="B188" s="8">
        <f>YEAR(A188)</f>
        <v>2025</v>
      </c>
      <c r="C188" s="27" t="str">
        <f>TEXT(A188,"MMMM")</f>
        <v>dezembro</v>
      </c>
      <c r="D188" s="30" t="s">
        <v>22</v>
      </c>
      <c r="E188" s="30" t="s">
        <v>21</v>
      </c>
      <c r="F188" s="31">
        <v>3.3622685185185186E-2</v>
      </c>
      <c r="G188" s="31">
        <v>0.45849537037037036</v>
      </c>
      <c r="H188" s="31">
        <v>0.75069444444444444</v>
      </c>
      <c r="I188" s="43">
        <f>H188-G188</f>
        <v>0.29219907407407408</v>
      </c>
      <c r="J188" s="43">
        <v>0.3</v>
      </c>
      <c r="K188" s="2"/>
      <c r="L188" s="3">
        <f>J188-I188</f>
        <v>7.8009259259259056E-3</v>
      </c>
      <c r="M188" s="4">
        <f>F188/I188</f>
        <v>0.115067733502337</v>
      </c>
      <c r="N188" s="4">
        <f>I188/J188</f>
        <v>0.97399691358024698</v>
      </c>
    </row>
    <row r="189" spans="1:14" x14ac:dyDescent="0.3">
      <c r="A189" s="29">
        <v>46006</v>
      </c>
      <c r="B189" s="8">
        <f>YEAR(A189)</f>
        <v>2025</v>
      </c>
      <c r="C189" s="27" t="str">
        <f>TEXT(A189,"MMMM")</f>
        <v>dezembro</v>
      </c>
      <c r="D189" s="30" t="s">
        <v>33</v>
      </c>
      <c r="E189" s="30" t="s">
        <v>34</v>
      </c>
      <c r="F189" s="31">
        <v>3.4768518518518518E-2</v>
      </c>
      <c r="G189" s="31">
        <v>0.33372685185185186</v>
      </c>
      <c r="H189" s="31">
        <v>0.66817129629629635</v>
      </c>
      <c r="I189" s="43">
        <f>H189-G189</f>
        <v>0.33444444444444449</v>
      </c>
      <c r="J189" s="43">
        <v>0.3</v>
      </c>
      <c r="K189" s="2">
        <f>I189-J189</f>
        <v>3.44444444444445E-2</v>
      </c>
      <c r="L189" s="3"/>
      <c r="M189" s="4">
        <f>F189/I189</f>
        <v>0.10395902547065336</v>
      </c>
      <c r="N189" s="4">
        <f>I189/J189</f>
        <v>1.1148148148148149</v>
      </c>
    </row>
    <row r="190" spans="1:14" x14ac:dyDescent="0.3">
      <c r="A190" s="29">
        <v>46006</v>
      </c>
      <c r="B190" s="8">
        <f>YEAR(A190)</f>
        <v>2025</v>
      </c>
      <c r="C190" s="27" t="str">
        <f>TEXT(A190,"MMMM")</f>
        <v>dezembro</v>
      </c>
      <c r="D190" s="30" t="s">
        <v>23</v>
      </c>
      <c r="E190" s="30" t="s">
        <v>17</v>
      </c>
      <c r="F190" s="31">
        <v>4.4097222222222225E-2</v>
      </c>
      <c r="G190" s="31">
        <v>0.44611111111111112</v>
      </c>
      <c r="H190" s="31">
        <v>0.75017361111111114</v>
      </c>
      <c r="I190" s="43">
        <f>H190-G190</f>
        <v>0.30406250000000001</v>
      </c>
      <c r="J190" s="43">
        <v>0.3</v>
      </c>
      <c r="K190" s="2">
        <f>I190-J190</f>
        <v>4.0625000000000244E-3</v>
      </c>
      <c r="L190" s="3"/>
      <c r="M190" s="4">
        <f>F190/I190</f>
        <v>0.14502683567431771</v>
      </c>
      <c r="N190" s="4">
        <f>I190/J190</f>
        <v>1.0135416666666668</v>
      </c>
    </row>
    <row r="191" spans="1:14" x14ac:dyDescent="0.3">
      <c r="A191" s="29">
        <v>46006</v>
      </c>
      <c r="B191" s="8">
        <f>YEAR(A191)</f>
        <v>2025</v>
      </c>
      <c r="C191" s="27" t="str">
        <f>TEXT(A191,"MMMM")</f>
        <v>dezembro</v>
      </c>
      <c r="D191" s="30" t="s">
        <v>31</v>
      </c>
      <c r="E191" s="30" t="s">
        <v>21</v>
      </c>
      <c r="F191" s="31">
        <v>4.8611111111111112E-2</v>
      </c>
      <c r="G191" s="31">
        <v>0.41927083333333331</v>
      </c>
      <c r="H191" s="31">
        <v>0.74984953703703705</v>
      </c>
      <c r="I191" s="43">
        <f>H191-G191</f>
        <v>0.33057870370370374</v>
      </c>
      <c r="J191" s="43">
        <v>0.3</v>
      </c>
      <c r="K191" s="2">
        <f>I191-J191</f>
        <v>3.0578703703703747E-2</v>
      </c>
      <c r="L191" s="3"/>
      <c r="M191" s="4">
        <f>F191/I191</f>
        <v>0.14704852601358448</v>
      </c>
      <c r="N191" s="4">
        <f>I191/J191</f>
        <v>1.1019290123456791</v>
      </c>
    </row>
    <row r="192" spans="1:14" x14ac:dyDescent="0.3">
      <c r="A192" s="29">
        <v>46006</v>
      </c>
      <c r="B192" s="8">
        <f>YEAR(A192)</f>
        <v>2025</v>
      </c>
      <c r="C192" s="27" t="str">
        <f>TEXT(A192,"MMMM")</f>
        <v>dezembro</v>
      </c>
      <c r="D192" s="30" t="s">
        <v>25</v>
      </c>
      <c r="E192" s="30" t="s">
        <v>21</v>
      </c>
      <c r="F192" s="31">
        <v>4.2650462962962966E-2</v>
      </c>
      <c r="G192" s="31">
        <v>0.33344907407407409</v>
      </c>
      <c r="H192" s="31">
        <v>0.67535879629629625</v>
      </c>
      <c r="I192" s="43">
        <f>H192-G192</f>
        <v>0.34190972222222216</v>
      </c>
      <c r="J192" s="43">
        <v>0.3</v>
      </c>
      <c r="K192" s="2">
        <f>I192-J192</f>
        <v>4.1909722222222168E-2</v>
      </c>
      <c r="L192" s="3"/>
      <c r="M192" s="4">
        <f>F192/I192</f>
        <v>0.12474188416099662</v>
      </c>
      <c r="N192" s="4">
        <f>I192/J192</f>
        <v>1.139699074074074</v>
      </c>
    </row>
    <row r="193" spans="1:14" x14ac:dyDescent="0.3">
      <c r="A193" s="29">
        <v>46006</v>
      </c>
      <c r="B193" s="8">
        <f>YEAR(A193)</f>
        <v>2025</v>
      </c>
      <c r="C193" s="27" t="str">
        <f>TEXT(A193,"MMMM")</f>
        <v>dezembro</v>
      </c>
      <c r="D193" s="30" t="s">
        <v>26</v>
      </c>
      <c r="E193" s="30" t="s">
        <v>15</v>
      </c>
      <c r="F193" s="31">
        <v>4.4340277777777777E-2</v>
      </c>
      <c r="G193" s="31">
        <v>0.33649305555555553</v>
      </c>
      <c r="H193" s="31">
        <v>0.67668981481481483</v>
      </c>
      <c r="I193" s="43">
        <f>H193-G193</f>
        <v>0.3401967592592593</v>
      </c>
      <c r="J193" s="43">
        <v>0.3</v>
      </c>
      <c r="K193" s="2">
        <f>I193-J193</f>
        <v>4.0196759259259307E-2</v>
      </c>
      <c r="L193" s="3"/>
      <c r="M193" s="4">
        <f>F193/I193</f>
        <v>0.13033715510495694</v>
      </c>
      <c r="N193" s="4">
        <f>I193/J193</f>
        <v>1.1339891975308645</v>
      </c>
    </row>
    <row r="194" spans="1:14" x14ac:dyDescent="0.3">
      <c r="A194" s="29">
        <v>46006</v>
      </c>
      <c r="B194" s="8">
        <f>YEAR(A194)</f>
        <v>2025</v>
      </c>
      <c r="C194" s="27" t="str">
        <f>TEXT(A194,"MMMM")</f>
        <v>dezembro</v>
      </c>
      <c r="D194" s="30" t="s">
        <v>65</v>
      </c>
      <c r="E194" s="30" t="s">
        <v>14</v>
      </c>
      <c r="F194" s="31">
        <v>4.1608796296296297E-2</v>
      </c>
      <c r="G194" s="31">
        <v>0.33383101851851854</v>
      </c>
      <c r="H194" s="31">
        <v>0.63394675925925925</v>
      </c>
      <c r="I194" s="43">
        <f>H194-G194</f>
        <v>0.30011574074074071</v>
      </c>
      <c r="J194" s="43">
        <v>0.3</v>
      </c>
      <c r="K194" s="2">
        <f>I194-J194</f>
        <v>1.1574074074072183E-4</v>
      </c>
      <c r="L194" s="3"/>
      <c r="M194" s="4">
        <f>F194/I194</f>
        <v>0.13864249903586581</v>
      </c>
      <c r="N194" s="4">
        <f>I194/J194</f>
        <v>1.0003858024691357</v>
      </c>
    </row>
    <row r="195" spans="1:14" x14ac:dyDescent="0.3">
      <c r="A195" s="29">
        <v>46006</v>
      </c>
      <c r="B195" s="8">
        <f>YEAR(A195)</f>
        <v>2025</v>
      </c>
      <c r="C195" s="27" t="str">
        <f>TEXT(A195,"MMMM")</f>
        <v>dezembro</v>
      </c>
      <c r="D195" s="30" t="s">
        <v>27</v>
      </c>
      <c r="E195" s="30" t="s">
        <v>17</v>
      </c>
      <c r="F195" s="31">
        <v>3.7986111111111109E-2</v>
      </c>
      <c r="G195" s="31">
        <v>0.33336805555555554</v>
      </c>
      <c r="H195" s="31">
        <v>0.67578703703703702</v>
      </c>
      <c r="I195" s="43">
        <f>H195-G195</f>
        <v>0.34241898148148148</v>
      </c>
      <c r="J195" s="43">
        <v>0.3</v>
      </c>
      <c r="K195" s="2">
        <f>I195-J195</f>
        <v>4.2418981481481488E-2</v>
      </c>
      <c r="L195" s="3"/>
      <c r="M195" s="4">
        <f>F195/I195</f>
        <v>0.11093459523407131</v>
      </c>
      <c r="N195" s="4">
        <f>I195/J195</f>
        <v>1.1413966049382716</v>
      </c>
    </row>
    <row r="196" spans="1:14" x14ac:dyDescent="0.3">
      <c r="A196" s="29">
        <v>46006</v>
      </c>
      <c r="B196" s="8">
        <f>YEAR(A196)</f>
        <v>2025</v>
      </c>
      <c r="C196" s="27" t="str">
        <f>TEXT(A196,"MMMM")</f>
        <v>dezembro</v>
      </c>
      <c r="D196" s="30" t="s">
        <v>68</v>
      </c>
      <c r="E196" s="30" t="s">
        <v>34</v>
      </c>
      <c r="F196" s="31">
        <v>4.494212962962963E-2</v>
      </c>
      <c r="G196" s="31">
        <v>0.44513888888888886</v>
      </c>
      <c r="H196" s="31">
        <v>0.75017361111111114</v>
      </c>
      <c r="I196" s="43">
        <f>H196-G196</f>
        <v>0.30503472222222228</v>
      </c>
      <c r="J196" s="43">
        <v>0.3</v>
      </c>
      <c r="K196" s="2">
        <f>I196-J196</f>
        <v>5.0347222222222876E-3</v>
      </c>
      <c r="L196" s="3"/>
      <c r="M196" s="4">
        <f>F196/I196</f>
        <v>0.14733447163726046</v>
      </c>
      <c r="N196" s="4">
        <f>I196/J196</f>
        <v>1.0167824074074077</v>
      </c>
    </row>
    <row r="197" spans="1:14" x14ac:dyDescent="0.3">
      <c r="A197" s="29">
        <v>46006</v>
      </c>
      <c r="B197" s="8">
        <f>YEAR(A197)</f>
        <v>2025</v>
      </c>
      <c r="C197" s="27" t="str">
        <f>TEXT(A197,"MMMM")</f>
        <v>dezembro</v>
      </c>
      <c r="D197" s="30" t="s">
        <v>32</v>
      </c>
      <c r="E197" s="30" t="s">
        <v>34</v>
      </c>
      <c r="F197" s="31">
        <v>4.5347222222222219E-2</v>
      </c>
      <c r="G197" s="31">
        <v>0.40804398148148147</v>
      </c>
      <c r="H197" s="31">
        <v>0.7502199074074074</v>
      </c>
      <c r="I197" s="43">
        <f>H197-G197</f>
        <v>0.34217592592592594</v>
      </c>
      <c r="J197" s="43">
        <v>0.3</v>
      </c>
      <c r="K197" s="2">
        <f>I197-J197</f>
        <v>4.217592592592595E-2</v>
      </c>
      <c r="L197" s="3"/>
      <c r="M197" s="4">
        <f>F197/I197</f>
        <v>0.13252604519009606</v>
      </c>
      <c r="N197" s="4">
        <f>I197/J197</f>
        <v>1.1405864197530866</v>
      </c>
    </row>
    <row r="198" spans="1:14" x14ac:dyDescent="0.3">
      <c r="A198" s="29">
        <v>46006</v>
      </c>
      <c r="B198" s="8">
        <f>YEAR(A198)</f>
        <v>2025</v>
      </c>
      <c r="C198" s="27" t="str">
        <f>TEXT(A198,"MMMM")</f>
        <v>dezembro</v>
      </c>
      <c r="D198" s="30" t="s">
        <v>28</v>
      </c>
      <c r="E198" s="30" t="s">
        <v>14</v>
      </c>
      <c r="F198" s="31">
        <v>0</v>
      </c>
      <c r="G198" s="31">
        <v>0.34621527777777777</v>
      </c>
      <c r="H198" s="31">
        <v>0.69608796296296294</v>
      </c>
      <c r="I198" s="43">
        <f>H198-G198</f>
        <v>0.34987268518518516</v>
      </c>
      <c r="J198" s="43">
        <v>0.3</v>
      </c>
      <c r="K198" s="2">
        <f>I198-J198</f>
        <v>4.9872685185185173E-2</v>
      </c>
      <c r="L198" s="3"/>
      <c r="M198" s="4">
        <f>F198/I198</f>
        <v>0</v>
      </c>
      <c r="N198" s="4">
        <f>I198/J198</f>
        <v>1.1662422839506172</v>
      </c>
    </row>
    <row r="199" spans="1:14" x14ac:dyDescent="0.3">
      <c r="A199" s="29">
        <v>46006</v>
      </c>
      <c r="B199" s="8">
        <f>YEAR(A199)</f>
        <v>2025</v>
      </c>
      <c r="C199" s="27" t="str">
        <f>TEXT(A199,"MMMM")</f>
        <v>dezembro</v>
      </c>
      <c r="D199" s="30" t="s">
        <v>29</v>
      </c>
      <c r="E199" s="30" t="s">
        <v>14</v>
      </c>
      <c r="F199" s="31">
        <v>0</v>
      </c>
      <c r="G199" s="31">
        <v>0.37357638888888889</v>
      </c>
      <c r="H199" s="31">
        <v>0.67658564814814814</v>
      </c>
      <c r="I199" s="43">
        <f>H199-G199</f>
        <v>0.30300925925925926</v>
      </c>
      <c r="J199" s="43">
        <v>0.3</v>
      </c>
      <c r="K199" s="2">
        <f>I199-J199</f>
        <v>3.0092592592592671E-3</v>
      </c>
      <c r="L199" s="3"/>
      <c r="M199" s="4">
        <f>F199/I199</f>
        <v>0</v>
      </c>
      <c r="N199" s="4">
        <f>I199/J199</f>
        <v>1.0100308641975309</v>
      </c>
    </row>
    <row r="200" spans="1:14" x14ac:dyDescent="0.3">
      <c r="A200" s="29">
        <v>46007</v>
      </c>
      <c r="B200" s="8">
        <f>YEAR(A200)</f>
        <v>2025</v>
      </c>
      <c r="C200" s="27" t="str">
        <f>TEXT(A200,"MMMM")</f>
        <v>dezembro</v>
      </c>
      <c r="D200" s="30" t="s">
        <v>16</v>
      </c>
      <c r="E200" s="30" t="s">
        <v>34</v>
      </c>
      <c r="F200" s="31">
        <v>4.6666666666666669E-2</v>
      </c>
      <c r="G200" s="31">
        <v>0.33359953703703704</v>
      </c>
      <c r="H200" s="31">
        <v>0.6341782407407407</v>
      </c>
      <c r="I200" s="43">
        <f>H200-G200</f>
        <v>0.30057870370370365</v>
      </c>
      <c r="J200" s="43">
        <v>0.3</v>
      </c>
      <c r="K200" s="2">
        <f>I200-J200</f>
        <v>5.7870370370366464E-4</v>
      </c>
      <c r="L200" s="3"/>
      <c r="M200" s="4">
        <f>F200/I200</f>
        <v>0.15525606469002698</v>
      </c>
      <c r="N200" s="4">
        <f>I200/J200</f>
        <v>1.001929012345679</v>
      </c>
    </row>
    <row r="201" spans="1:14" x14ac:dyDescent="0.3">
      <c r="A201" s="29">
        <v>46007</v>
      </c>
      <c r="B201" s="8">
        <f>YEAR(A201)</f>
        <v>2025</v>
      </c>
      <c r="C201" s="27" t="str">
        <f>TEXT(A201,"MMMM")</f>
        <v>dezembro</v>
      </c>
      <c r="D201" s="30" t="s">
        <v>47</v>
      </c>
      <c r="E201" s="30" t="s">
        <v>17</v>
      </c>
      <c r="F201" s="31">
        <v>5.185185185185185E-2</v>
      </c>
      <c r="G201" s="31">
        <v>0.51025462962962964</v>
      </c>
      <c r="H201" s="31">
        <v>0.75050925925925926</v>
      </c>
      <c r="I201" s="43">
        <f>H201-G201</f>
        <v>0.24025462962962962</v>
      </c>
      <c r="J201" s="43">
        <v>0.25</v>
      </c>
      <c r="K201" s="2"/>
      <c r="L201" s="3">
        <f>J201-I201</f>
        <v>9.7453703703703765E-3</v>
      </c>
      <c r="M201" s="4">
        <f>F201/I201</f>
        <v>0.21582040659023027</v>
      </c>
      <c r="N201" s="4">
        <f>I201/J201</f>
        <v>0.96101851851851849</v>
      </c>
    </row>
    <row r="202" spans="1:14" x14ac:dyDescent="0.3">
      <c r="A202" s="29">
        <v>46007</v>
      </c>
      <c r="B202" s="8">
        <f>YEAR(A202)</f>
        <v>2025</v>
      </c>
      <c r="C202" s="27" t="str">
        <f>TEXT(A202,"MMMM")</f>
        <v>dezembro</v>
      </c>
      <c r="D202" s="30" t="s">
        <v>18</v>
      </c>
      <c r="E202" s="30" t="s">
        <v>14</v>
      </c>
      <c r="F202" s="31">
        <v>0</v>
      </c>
      <c r="G202" s="31">
        <v>0.36166666666666669</v>
      </c>
      <c r="H202" s="31">
        <v>0.64868055555555559</v>
      </c>
      <c r="I202" s="43">
        <f>H202-G202</f>
        <v>0.2870138888888889</v>
      </c>
      <c r="J202" s="43">
        <v>0.3</v>
      </c>
      <c r="K202" s="2"/>
      <c r="L202" s="3">
        <f>J202-I202</f>
        <v>1.2986111111111087E-2</v>
      </c>
      <c r="M202" s="4">
        <f>F202/I202</f>
        <v>0</v>
      </c>
      <c r="N202" s="4">
        <f>I202/J202</f>
        <v>0.95671296296296304</v>
      </c>
    </row>
    <row r="203" spans="1:14" x14ac:dyDescent="0.3">
      <c r="A203" s="29">
        <v>46007</v>
      </c>
      <c r="B203" s="8">
        <f>YEAR(A203)</f>
        <v>2025</v>
      </c>
      <c r="C203" s="27" t="str">
        <f>TEXT(A203,"MMMM")</f>
        <v>dezembro</v>
      </c>
      <c r="D203" s="30" t="s">
        <v>19</v>
      </c>
      <c r="E203" s="30" t="s">
        <v>17</v>
      </c>
      <c r="F203" s="31">
        <v>4.9699074074074076E-2</v>
      </c>
      <c r="G203" s="31">
        <v>0.33785879629629628</v>
      </c>
      <c r="H203" s="31">
        <v>0.63416666666666666</v>
      </c>
      <c r="I203" s="43">
        <f>H203-G203</f>
        <v>0.29630787037037037</v>
      </c>
      <c r="J203" s="43">
        <v>0.3</v>
      </c>
      <c r="K203" s="2"/>
      <c r="L203" s="3">
        <f>J203-I203</f>
        <v>3.6921296296296147E-3</v>
      </c>
      <c r="M203" s="4">
        <f>F203/I203</f>
        <v>0.16772782313190893</v>
      </c>
      <c r="N203" s="4">
        <f>I203/J203</f>
        <v>0.98769290123456799</v>
      </c>
    </row>
    <row r="204" spans="1:14" x14ac:dyDescent="0.3">
      <c r="A204" s="29">
        <v>46007</v>
      </c>
      <c r="B204" s="8">
        <f>YEAR(A204)</f>
        <v>2025</v>
      </c>
      <c r="C204" s="27" t="str">
        <f>TEXT(A204,"MMMM")</f>
        <v>dezembro</v>
      </c>
      <c r="D204" s="30" t="s">
        <v>20</v>
      </c>
      <c r="E204" s="30" t="s">
        <v>21</v>
      </c>
      <c r="F204" s="31">
        <v>5.8368055555555555E-2</v>
      </c>
      <c r="G204" s="31">
        <v>0.33565972222222223</v>
      </c>
      <c r="H204" s="31">
        <v>0.63469907407407411</v>
      </c>
      <c r="I204" s="43">
        <f>H204-G204</f>
        <v>0.29903935185185188</v>
      </c>
      <c r="J204" s="43">
        <v>0.3</v>
      </c>
      <c r="K204" s="2"/>
      <c r="L204" s="3">
        <f>J204-I204</f>
        <v>9.6064814814811328E-4</v>
      </c>
      <c r="M204" s="4">
        <f>F204/I204</f>
        <v>0.1951851995200681</v>
      </c>
      <c r="N204" s="4">
        <f>I204/J204</f>
        <v>0.99679783950617296</v>
      </c>
    </row>
    <row r="205" spans="1:14" x14ac:dyDescent="0.3">
      <c r="A205" s="29">
        <v>46007</v>
      </c>
      <c r="B205" s="8">
        <f>YEAR(A205)</f>
        <v>2025</v>
      </c>
      <c r="C205" s="27" t="str">
        <f>TEXT(A205,"MMMM")</f>
        <v>dezembro</v>
      </c>
      <c r="D205" s="30" t="s">
        <v>69</v>
      </c>
      <c r="E205" s="30" t="s">
        <v>17</v>
      </c>
      <c r="F205" s="31">
        <v>4.5138888888888888E-2</v>
      </c>
      <c r="G205" s="31">
        <v>0.33501157407407406</v>
      </c>
      <c r="H205" s="31">
        <v>0.63518518518518519</v>
      </c>
      <c r="I205" s="43">
        <f>H205-G205</f>
        <v>0.30017361111111113</v>
      </c>
      <c r="J205" s="43">
        <v>0.3</v>
      </c>
      <c r="K205" s="2">
        <f>I205-J205</f>
        <v>1.7361111111113825E-4</v>
      </c>
      <c r="L205" s="3"/>
      <c r="M205" s="4">
        <f>F205/I205</f>
        <v>0.15037593984962405</v>
      </c>
      <c r="N205" s="4">
        <f>I205/J205</f>
        <v>1.0005787037037037</v>
      </c>
    </row>
    <row r="206" spans="1:14" x14ac:dyDescent="0.3">
      <c r="A206" s="29">
        <v>46007</v>
      </c>
      <c r="B206" s="8">
        <f>YEAR(A206)</f>
        <v>2025</v>
      </c>
      <c r="C206" s="27" t="str">
        <f>TEXT(A206,"MMMM")</f>
        <v>dezembro</v>
      </c>
      <c r="D206" s="30" t="s">
        <v>22</v>
      </c>
      <c r="E206" s="30" t="s">
        <v>21</v>
      </c>
      <c r="F206" s="31">
        <v>3.7337962962962962E-2</v>
      </c>
      <c r="G206" s="31">
        <v>0.44187500000000002</v>
      </c>
      <c r="H206" s="31">
        <v>0.7505208333333333</v>
      </c>
      <c r="I206" s="43">
        <f>H206-G206</f>
        <v>0.30864583333333329</v>
      </c>
      <c r="J206" s="43">
        <v>0.3</v>
      </c>
      <c r="K206" s="2">
        <f>I206-J206</f>
        <v>8.6458333333332971E-3</v>
      </c>
      <c r="L206" s="3"/>
      <c r="M206" s="4">
        <f>F206/I206</f>
        <v>0.12097348783140212</v>
      </c>
      <c r="N206" s="4">
        <f>I206/J206</f>
        <v>1.0288194444444443</v>
      </c>
    </row>
    <row r="207" spans="1:14" x14ac:dyDescent="0.3">
      <c r="A207" s="29">
        <v>46007</v>
      </c>
      <c r="B207" s="8">
        <f>YEAR(A207)</f>
        <v>2025</v>
      </c>
      <c r="C207" s="27" t="str">
        <f>TEXT(A207,"MMMM")</f>
        <v>dezembro</v>
      </c>
      <c r="D207" s="30" t="s">
        <v>33</v>
      </c>
      <c r="E207" s="30" t="s">
        <v>34</v>
      </c>
      <c r="F207" s="31">
        <v>4.2615740740740739E-2</v>
      </c>
      <c r="G207" s="31">
        <v>0.33372685185185186</v>
      </c>
      <c r="H207" s="31">
        <v>0.63365740740740739</v>
      </c>
      <c r="I207" s="43">
        <f>H207-G207</f>
        <v>0.29993055555555553</v>
      </c>
      <c r="J207" s="43">
        <v>0.3</v>
      </c>
      <c r="K207" s="2"/>
      <c r="L207" s="3">
        <f>J207-I207</f>
        <v>6.94444444444553E-5</v>
      </c>
      <c r="M207" s="4">
        <f>F207/I207</f>
        <v>0.14208535926526203</v>
      </c>
      <c r="N207" s="4">
        <f>I207/J207</f>
        <v>0.99976851851851845</v>
      </c>
    </row>
    <row r="208" spans="1:14" x14ac:dyDescent="0.3">
      <c r="A208" s="29">
        <v>46007</v>
      </c>
      <c r="B208" s="8">
        <f>YEAR(A208)</f>
        <v>2025</v>
      </c>
      <c r="C208" s="27" t="str">
        <f>TEXT(A208,"MMMM")</f>
        <v>dezembro</v>
      </c>
      <c r="D208" s="30" t="s">
        <v>23</v>
      </c>
      <c r="E208" s="30" t="s">
        <v>17</v>
      </c>
      <c r="F208" s="31">
        <v>3.9814814814814817E-2</v>
      </c>
      <c r="G208" s="31">
        <v>0.41281250000000003</v>
      </c>
      <c r="H208" s="31">
        <v>0.75037037037037035</v>
      </c>
      <c r="I208" s="43">
        <f>H208-G208</f>
        <v>0.33755787037037033</v>
      </c>
      <c r="J208" s="43">
        <v>0.3</v>
      </c>
      <c r="K208" s="2">
        <f>I208-J208</f>
        <v>3.7557870370370339E-2</v>
      </c>
      <c r="L208" s="3"/>
      <c r="M208" s="4">
        <f>F208/I208</f>
        <v>0.11794959711983544</v>
      </c>
      <c r="N208" s="4">
        <f>I208/J208</f>
        <v>1.1251929012345678</v>
      </c>
    </row>
    <row r="209" spans="1:14" x14ac:dyDescent="0.3">
      <c r="A209" s="29">
        <v>46007</v>
      </c>
      <c r="B209" s="8">
        <f>YEAR(A209)</f>
        <v>2025</v>
      </c>
      <c r="C209" s="27" t="str">
        <f>TEXT(A209,"MMMM")</f>
        <v>dezembro</v>
      </c>
      <c r="D209" s="30" t="s">
        <v>31</v>
      </c>
      <c r="E209" s="30" t="s">
        <v>21</v>
      </c>
      <c r="F209" s="31">
        <v>3.7199074074074072E-2</v>
      </c>
      <c r="G209" s="31">
        <v>0.41114583333333332</v>
      </c>
      <c r="H209" s="31">
        <v>0.75040509259259258</v>
      </c>
      <c r="I209" s="43">
        <f>H209-G209</f>
        <v>0.33925925925925926</v>
      </c>
      <c r="J209" s="43">
        <v>0.3</v>
      </c>
      <c r="K209" s="2">
        <f>I209-J209</f>
        <v>3.9259259259259272E-2</v>
      </c>
      <c r="L209" s="3"/>
      <c r="M209" s="4">
        <f>F209/I209</f>
        <v>0.10964792576419213</v>
      </c>
      <c r="N209" s="4">
        <f>I209/J209</f>
        <v>1.1308641975308642</v>
      </c>
    </row>
    <row r="210" spans="1:14" x14ac:dyDescent="0.3">
      <c r="A210" s="29">
        <v>46007</v>
      </c>
      <c r="B210" s="8">
        <f>YEAR(A210)</f>
        <v>2025</v>
      </c>
      <c r="C210" s="27" t="str">
        <f>TEXT(A210,"MMMM")</f>
        <v>dezembro</v>
      </c>
      <c r="D210" s="30" t="s">
        <v>25</v>
      </c>
      <c r="E210" s="30" t="s">
        <v>21</v>
      </c>
      <c r="F210" s="31">
        <v>5.140046296296296E-2</v>
      </c>
      <c r="G210" s="31">
        <v>0.33344907407407409</v>
      </c>
      <c r="H210" s="31">
        <v>0.67598379629629635</v>
      </c>
      <c r="I210" s="43">
        <f>H210-G210</f>
        <v>0.34253472222222225</v>
      </c>
      <c r="J210" s="43">
        <v>0.3</v>
      </c>
      <c r="K210" s="2">
        <f>I210-J210</f>
        <v>4.2534722222222265E-2</v>
      </c>
      <c r="L210" s="3"/>
      <c r="M210" s="4">
        <f>F210/I210</f>
        <v>0.15005913161006926</v>
      </c>
      <c r="N210" s="4">
        <f>I210/J210</f>
        <v>1.1417824074074077</v>
      </c>
    </row>
    <row r="211" spans="1:14" x14ac:dyDescent="0.3">
      <c r="A211" s="29">
        <v>46007</v>
      </c>
      <c r="B211" s="8">
        <f>YEAR(A211)</f>
        <v>2025</v>
      </c>
      <c r="C211" s="27" t="str">
        <f>TEXT(A211,"MMMM")</f>
        <v>dezembro</v>
      </c>
      <c r="D211" s="30" t="s">
        <v>26</v>
      </c>
      <c r="E211" s="30" t="s">
        <v>15</v>
      </c>
      <c r="F211" s="31">
        <v>4.4247685185185189E-2</v>
      </c>
      <c r="G211" s="31">
        <v>0.3333564814814815</v>
      </c>
      <c r="H211" s="31">
        <v>0.63723379629629628</v>
      </c>
      <c r="I211" s="43">
        <f>H211-G211</f>
        <v>0.30387731481481478</v>
      </c>
      <c r="J211" s="43">
        <v>0.3</v>
      </c>
      <c r="K211" s="2">
        <f>I211-J211</f>
        <v>3.8773148148147918E-3</v>
      </c>
      <c r="L211" s="3"/>
      <c r="M211" s="4">
        <f>F211/I211</f>
        <v>0.14561035993144167</v>
      </c>
      <c r="N211" s="4">
        <f>I211/J211</f>
        <v>1.0129243827160492</v>
      </c>
    </row>
    <row r="212" spans="1:14" x14ac:dyDescent="0.3">
      <c r="A212" s="29">
        <v>46007</v>
      </c>
      <c r="B212" s="8">
        <f>YEAR(A212)</f>
        <v>2025</v>
      </c>
      <c r="C212" s="27" t="str">
        <f>TEXT(A212,"MMMM")</f>
        <v>dezembro</v>
      </c>
      <c r="D212" s="30" t="s">
        <v>65</v>
      </c>
      <c r="E212" s="30" t="s">
        <v>14</v>
      </c>
      <c r="F212" s="31">
        <v>4.2453703703703702E-2</v>
      </c>
      <c r="G212" s="31">
        <v>0.33359953703703704</v>
      </c>
      <c r="H212" s="31">
        <v>0.63363425925925931</v>
      </c>
      <c r="I212" s="43">
        <f>H212-G212</f>
        <v>0.30003472222222227</v>
      </c>
      <c r="J212" s="43">
        <v>0.3</v>
      </c>
      <c r="K212" s="2">
        <f>I212-J212</f>
        <v>3.4722222222283161E-5</v>
      </c>
      <c r="L212" s="3"/>
      <c r="M212" s="4">
        <f>F212/I212</f>
        <v>0.14149596883076801</v>
      </c>
      <c r="N212" s="4">
        <f>I212/J212</f>
        <v>1.0001157407407408</v>
      </c>
    </row>
    <row r="213" spans="1:14" x14ac:dyDescent="0.3">
      <c r="A213" s="29">
        <v>46007</v>
      </c>
      <c r="B213" s="8">
        <f>YEAR(A213)</f>
        <v>2025</v>
      </c>
      <c r="C213" s="27" t="str">
        <f>TEXT(A213,"MMMM")</f>
        <v>dezembro</v>
      </c>
      <c r="D213" s="30" t="s">
        <v>27</v>
      </c>
      <c r="E213" s="30" t="s">
        <v>17</v>
      </c>
      <c r="F213" s="31">
        <v>4.5486111111111109E-2</v>
      </c>
      <c r="G213" s="31">
        <v>0.33395833333333336</v>
      </c>
      <c r="H213" s="31">
        <v>0.63785879629629627</v>
      </c>
      <c r="I213" s="43">
        <f>H213-G213</f>
        <v>0.30390046296296291</v>
      </c>
      <c r="J213" s="43">
        <v>0.3</v>
      </c>
      <c r="K213" s="2">
        <f>I213-J213</f>
        <v>3.9004629629629251E-3</v>
      </c>
      <c r="L213" s="3"/>
      <c r="M213" s="4">
        <f>F213/I213</f>
        <v>0.14967437254827287</v>
      </c>
      <c r="N213" s="4">
        <f>I213/J213</f>
        <v>1.0130015432098765</v>
      </c>
    </row>
    <row r="214" spans="1:14" x14ac:dyDescent="0.3">
      <c r="A214" s="29">
        <v>46007</v>
      </c>
      <c r="B214" s="8">
        <f>YEAR(A214)</f>
        <v>2025</v>
      </c>
      <c r="C214" s="27" t="str">
        <f>TEXT(A214,"MMMM")</f>
        <v>dezembro</v>
      </c>
      <c r="D214" s="30" t="s">
        <v>68</v>
      </c>
      <c r="E214" s="30" t="s">
        <v>34</v>
      </c>
      <c r="F214" s="31">
        <v>4.3159722222222224E-2</v>
      </c>
      <c r="G214" s="31">
        <v>0.43019675925925926</v>
      </c>
      <c r="H214" s="31">
        <v>0.75019675925925922</v>
      </c>
      <c r="I214" s="43">
        <f>H214-G214</f>
        <v>0.31999999999999995</v>
      </c>
      <c r="J214" s="43">
        <v>0.3</v>
      </c>
      <c r="K214" s="2">
        <f>I214-J214</f>
        <v>1.9999999999999962E-2</v>
      </c>
      <c r="L214" s="3"/>
      <c r="M214" s="4">
        <f>F214/I214</f>
        <v>0.13487413194444448</v>
      </c>
      <c r="N214" s="4">
        <f>I214/J214</f>
        <v>1.0666666666666667</v>
      </c>
    </row>
    <row r="215" spans="1:14" x14ac:dyDescent="0.3">
      <c r="A215" s="29">
        <v>46007</v>
      </c>
      <c r="B215" s="8">
        <f>YEAR(A215)</f>
        <v>2025</v>
      </c>
      <c r="C215" s="27" t="str">
        <f>TEXT(A215,"MMMM")</f>
        <v>dezembro</v>
      </c>
      <c r="D215" s="30" t="s">
        <v>32</v>
      </c>
      <c r="E215" s="30" t="s">
        <v>34</v>
      </c>
      <c r="F215" s="31">
        <v>4.1689814814814811E-2</v>
      </c>
      <c r="G215" s="31">
        <v>0.4243865740740741</v>
      </c>
      <c r="H215" s="31">
        <v>0.75078703703703709</v>
      </c>
      <c r="I215" s="43">
        <f>H215-G215</f>
        <v>0.32640046296296299</v>
      </c>
      <c r="J215" s="43">
        <v>0.3</v>
      </c>
      <c r="K215" s="2">
        <f>I215-J215</f>
        <v>2.6400462962963001E-2</v>
      </c>
      <c r="L215" s="3"/>
      <c r="M215" s="4">
        <f>F215/I215</f>
        <v>0.12772596716428494</v>
      </c>
      <c r="N215" s="4">
        <f>I215/J215</f>
        <v>1.0880015432098766</v>
      </c>
    </row>
    <row r="216" spans="1:14" x14ac:dyDescent="0.3">
      <c r="A216" s="29">
        <v>46007</v>
      </c>
      <c r="B216" s="8">
        <f>YEAR(A216)</f>
        <v>2025</v>
      </c>
      <c r="C216" s="27" t="str">
        <f>TEXT(A216,"MMMM")</f>
        <v>dezembro</v>
      </c>
      <c r="D216" s="30" t="s">
        <v>30</v>
      </c>
      <c r="E216" s="30" t="s">
        <v>34</v>
      </c>
      <c r="F216" s="31">
        <v>5.2094907407407409E-2</v>
      </c>
      <c r="G216" s="31">
        <v>0.33400462962962962</v>
      </c>
      <c r="H216" s="31">
        <v>0.63472222222222219</v>
      </c>
      <c r="I216" s="43">
        <f>H216-G216</f>
        <v>0.30071759259259256</v>
      </c>
      <c r="J216" s="43">
        <v>0.3</v>
      </c>
      <c r="K216" s="2">
        <f>I216-J216</f>
        <v>7.1759259259257524E-4</v>
      </c>
      <c r="L216" s="3"/>
      <c r="M216" s="4">
        <f>F216/I216</f>
        <v>0.17323531675775539</v>
      </c>
      <c r="N216" s="4">
        <f>I216/J216</f>
        <v>1.0023919753086419</v>
      </c>
    </row>
    <row r="217" spans="1:14" x14ac:dyDescent="0.3">
      <c r="A217" s="29">
        <v>46007</v>
      </c>
      <c r="B217" s="8">
        <f>YEAR(A217)</f>
        <v>2025</v>
      </c>
      <c r="C217" s="27" t="str">
        <f>TEXT(A217,"MMMM")</f>
        <v>dezembro</v>
      </c>
      <c r="D217" s="30" t="s">
        <v>28</v>
      </c>
      <c r="E217" s="30" t="s">
        <v>14</v>
      </c>
      <c r="F217" s="31">
        <v>0</v>
      </c>
      <c r="G217" s="31">
        <v>0.35418981481481482</v>
      </c>
      <c r="H217" s="31">
        <v>0.65452546296296299</v>
      </c>
      <c r="I217" s="43">
        <f>H217-G217</f>
        <v>0.30033564814814817</v>
      </c>
      <c r="J217" s="43">
        <v>0.3</v>
      </c>
      <c r="K217" s="2">
        <f>I217-J217</f>
        <v>3.3564814814818211E-4</v>
      </c>
      <c r="L217" s="3"/>
      <c r="M217" s="4">
        <f>F217/I217</f>
        <v>0</v>
      </c>
      <c r="N217" s="4">
        <f>I217/J217</f>
        <v>1.0011188271604938</v>
      </c>
    </row>
    <row r="218" spans="1:14" x14ac:dyDescent="0.3">
      <c r="A218" s="29">
        <v>46007</v>
      </c>
      <c r="B218" s="8">
        <f>YEAR(A218)</f>
        <v>2025</v>
      </c>
      <c r="C218" s="27" t="str">
        <f>TEXT(A218,"MMMM")</f>
        <v>dezembro</v>
      </c>
      <c r="D218" s="30" t="s">
        <v>29</v>
      </c>
      <c r="E218" s="30" t="s">
        <v>14</v>
      </c>
      <c r="F218" s="31">
        <v>0</v>
      </c>
      <c r="G218" s="31">
        <v>0.33402777777777776</v>
      </c>
      <c r="H218" s="31">
        <v>0.63525462962962964</v>
      </c>
      <c r="I218" s="43">
        <f>H218-G218</f>
        <v>0.30122685185185188</v>
      </c>
      <c r="J218" s="43">
        <v>0.3</v>
      </c>
      <c r="K218" s="2">
        <f>I218-J218</f>
        <v>1.2268518518518956E-3</v>
      </c>
      <c r="L218" s="3"/>
      <c r="M218" s="4">
        <f>F218/I218</f>
        <v>0</v>
      </c>
      <c r="N218" s="4">
        <f>I218/J218</f>
        <v>1.0040895061728397</v>
      </c>
    </row>
    <row r="219" spans="1:14" x14ac:dyDescent="0.3">
      <c r="A219" s="29">
        <v>46008</v>
      </c>
      <c r="B219" s="8">
        <f>YEAR(A219)</f>
        <v>2025</v>
      </c>
      <c r="C219" s="27" t="str">
        <f>TEXT(A219,"MMMM")</f>
        <v>dezembro</v>
      </c>
      <c r="D219" s="30" t="s">
        <v>16</v>
      </c>
      <c r="E219" s="30" t="s">
        <v>34</v>
      </c>
      <c r="F219" s="31">
        <v>4.2997685185185187E-2</v>
      </c>
      <c r="G219" s="31">
        <v>0.33372685185185186</v>
      </c>
      <c r="H219" s="31">
        <v>0.6753703703703704</v>
      </c>
      <c r="I219" s="43">
        <f>H219-G219</f>
        <v>0.34164351851851854</v>
      </c>
      <c r="J219" s="43">
        <v>0.3</v>
      </c>
      <c r="K219" s="2">
        <f>I219-J219</f>
        <v>4.1643518518518552E-2</v>
      </c>
      <c r="L219" s="3"/>
      <c r="M219" s="4">
        <f>F219/I219</f>
        <v>0.12585541025814756</v>
      </c>
      <c r="N219" s="4">
        <f>I219/J219</f>
        <v>1.1388117283950618</v>
      </c>
    </row>
    <row r="220" spans="1:14" x14ac:dyDescent="0.3">
      <c r="A220" s="29">
        <v>46008</v>
      </c>
      <c r="B220" s="8">
        <f>YEAR(A220)</f>
        <v>2025</v>
      </c>
      <c r="C220" s="27" t="str">
        <f>TEXT(A220,"MMMM")</f>
        <v>dezembro</v>
      </c>
      <c r="D220" s="30" t="s">
        <v>18</v>
      </c>
      <c r="E220" s="30" t="s">
        <v>14</v>
      </c>
      <c r="F220" s="31">
        <v>0</v>
      </c>
      <c r="G220" s="31">
        <v>0.33975694444444443</v>
      </c>
      <c r="H220" s="31">
        <v>0.64141203703703709</v>
      </c>
      <c r="I220" s="43">
        <f>H220-G220</f>
        <v>0.30165509259259266</v>
      </c>
      <c r="J220" s="43">
        <v>0.3</v>
      </c>
      <c r="K220" s="2">
        <f>I220-J220</f>
        <v>1.6550925925926663E-3</v>
      </c>
      <c r="L220" s="3"/>
      <c r="M220" s="4">
        <f>F220/I220</f>
        <v>0</v>
      </c>
      <c r="N220" s="4">
        <f>I220/J220</f>
        <v>1.0055169753086421</v>
      </c>
    </row>
    <row r="221" spans="1:14" x14ac:dyDescent="0.3">
      <c r="A221" s="29">
        <v>46008</v>
      </c>
      <c r="B221" s="8">
        <f>YEAR(A221)</f>
        <v>2025</v>
      </c>
      <c r="C221" s="27" t="str">
        <f>TEXT(A221,"MMMM")</f>
        <v>dezembro</v>
      </c>
      <c r="D221" s="30" t="s">
        <v>19</v>
      </c>
      <c r="E221" s="30" t="s">
        <v>17</v>
      </c>
      <c r="F221" s="31">
        <v>4.8900462962962965E-2</v>
      </c>
      <c r="G221" s="31">
        <v>0.33806712962962965</v>
      </c>
      <c r="H221" s="31">
        <v>0.66741898148148149</v>
      </c>
      <c r="I221" s="43">
        <f>H221-G221</f>
        <v>0.32935185185185184</v>
      </c>
      <c r="J221" s="43">
        <v>0.3</v>
      </c>
      <c r="K221" s="2">
        <f>I221-J221</f>
        <v>2.9351851851851851E-2</v>
      </c>
      <c r="L221" s="3"/>
      <c r="M221" s="4">
        <f>F221/I221</f>
        <v>0.14847483834692157</v>
      </c>
      <c r="N221" s="4">
        <f>I221/J221</f>
        <v>1.0978395061728394</v>
      </c>
    </row>
    <row r="222" spans="1:14" x14ac:dyDescent="0.3">
      <c r="A222" s="29">
        <v>46008</v>
      </c>
      <c r="B222" s="8">
        <f>YEAR(A222)</f>
        <v>2025</v>
      </c>
      <c r="C222" s="27" t="str">
        <f>TEXT(A222,"MMMM")</f>
        <v>dezembro</v>
      </c>
      <c r="D222" s="30" t="s">
        <v>20</v>
      </c>
      <c r="E222" s="30" t="s">
        <v>21</v>
      </c>
      <c r="F222" s="31">
        <v>5.1180555555555556E-2</v>
      </c>
      <c r="G222" s="31">
        <v>0.3372222222222222</v>
      </c>
      <c r="H222" s="31">
        <v>0.63577546296296295</v>
      </c>
      <c r="I222" s="43">
        <f>H222-G222</f>
        <v>0.29855324074074074</v>
      </c>
      <c r="J222" s="43">
        <v>0.3</v>
      </c>
      <c r="K222" s="2"/>
      <c r="L222" s="3">
        <f>J222-I222</f>
        <v>1.4467592592592449E-3</v>
      </c>
      <c r="M222" s="4">
        <f>F222/I222</f>
        <v>0.17142857142857143</v>
      </c>
      <c r="N222" s="4">
        <f>I222/J222</f>
        <v>0.99517746913580252</v>
      </c>
    </row>
    <row r="223" spans="1:14" x14ac:dyDescent="0.3">
      <c r="A223" s="29">
        <v>46008</v>
      </c>
      <c r="B223" s="8">
        <f>YEAR(A223)</f>
        <v>2025</v>
      </c>
      <c r="C223" s="27" t="str">
        <f>TEXT(A223,"MMMM")</f>
        <v>dezembro</v>
      </c>
      <c r="D223" s="30" t="s">
        <v>69</v>
      </c>
      <c r="E223" s="30" t="s">
        <v>17</v>
      </c>
      <c r="F223" s="31">
        <v>3.7731481481481484E-2</v>
      </c>
      <c r="G223" s="31">
        <v>0.33842592592592591</v>
      </c>
      <c r="H223" s="31">
        <v>0.67565972222222226</v>
      </c>
      <c r="I223" s="43">
        <f>H223-G223</f>
        <v>0.33723379629629635</v>
      </c>
      <c r="J223" s="43">
        <v>0.3</v>
      </c>
      <c r="K223" s="2">
        <f>I223-J223</f>
        <v>3.7233796296296362E-2</v>
      </c>
      <c r="L223" s="3"/>
      <c r="M223" s="4">
        <f>F223/I223</f>
        <v>0.11188523183581013</v>
      </c>
      <c r="N223" s="4">
        <f>I223/J223</f>
        <v>1.1241126543209878</v>
      </c>
    </row>
    <row r="224" spans="1:14" x14ac:dyDescent="0.3">
      <c r="A224" s="29">
        <v>46008</v>
      </c>
      <c r="B224" s="8">
        <f>YEAR(A224)</f>
        <v>2025</v>
      </c>
      <c r="C224" s="27" t="str">
        <f>TEXT(A224,"MMMM")</f>
        <v>dezembro</v>
      </c>
      <c r="D224" s="30" t="s">
        <v>22</v>
      </c>
      <c r="E224" s="30" t="s">
        <v>21</v>
      </c>
      <c r="F224" s="31">
        <v>3.8981481481481478E-2</v>
      </c>
      <c r="G224" s="31">
        <v>0.4226273148148148</v>
      </c>
      <c r="H224" s="31">
        <v>0.75135416666666666</v>
      </c>
      <c r="I224" s="43">
        <f>H224-G224</f>
        <v>0.32872685185185185</v>
      </c>
      <c r="J224" s="43">
        <v>0.3</v>
      </c>
      <c r="K224" s="2">
        <f>I224-J224</f>
        <v>2.8726851851851865E-2</v>
      </c>
      <c r="L224" s="3"/>
      <c r="M224" s="4">
        <f>F224/I224</f>
        <v>0.11858319836631222</v>
      </c>
      <c r="N224" s="4">
        <f>I224/J224</f>
        <v>1.0957561728395062</v>
      </c>
    </row>
    <row r="225" spans="1:14" x14ac:dyDescent="0.3">
      <c r="A225" s="29">
        <v>46008</v>
      </c>
      <c r="B225" s="8">
        <f>YEAR(A225)</f>
        <v>2025</v>
      </c>
      <c r="C225" s="27" t="str">
        <f>TEXT(A225,"MMMM")</f>
        <v>dezembro</v>
      </c>
      <c r="D225" s="30" t="s">
        <v>33</v>
      </c>
      <c r="E225" s="30" t="s">
        <v>34</v>
      </c>
      <c r="F225" s="31">
        <v>3.4282407407407407E-2</v>
      </c>
      <c r="G225" s="31">
        <v>0.33372685185185186</v>
      </c>
      <c r="H225" s="31">
        <v>0.63384259259259257</v>
      </c>
      <c r="I225" s="43">
        <f>H225-G225</f>
        <v>0.30011574074074071</v>
      </c>
      <c r="J225" s="43">
        <v>0.3</v>
      </c>
      <c r="K225" s="2">
        <f>I225-J225</f>
        <v>1.1574074074072183E-4</v>
      </c>
      <c r="L225" s="3"/>
      <c r="M225" s="4">
        <f>F225/I225</f>
        <v>0.11423062090242964</v>
      </c>
      <c r="N225" s="4">
        <f>I225/J225</f>
        <v>1.0003858024691357</v>
      </c>
    </row>
    <row r="226" spans="1:14" x14ac:dyDescent="0.3">
      <c r="A226" s="29">
        <v>46008</v>
      </c>
      <c r="B226" s="8">
        <f>YEAR(A226)</f>
        <v>2025</v>
      </c>
      <c r="C226" s="27" t="str">
        <f>TEXT(A226,"MMMM")</f>
        <v>dezembro</v>
      </c>
      <c r="D226" s="30" t="s">
        <v>23</v>
      </c>
      <c r="E226" s="30" t="s">
        <v>17</v>
      </c>
      <c r="F226" s="31">
        <v>4.8043981481481479E-2</v>
      </c>
      <c r="G226" s="31">
        <v>0.42189814814814813</v>
      </c>
      <c r="H226" s="31">
        <v>0.75042824074074077</v>
      </c>
      <c r="I226" s="43">
        <f>H226-G226</f>
        <v>0.32853009259259264</v>
      </c>
      <c r="J226" s="43">
        <v>0.3</v>
      </c>
      <c r="K226" s="2">
        <f>I226-J226</f>
        <v>2.8530092592592649E-2</v>
      </c>
      <c r="L226" s="3"/>
      <c r="M226" s="4">
        <f>F226/I226</f>
        <v>0.14623921085080147</v>
      </c>
      <c r="N226" s="4">
        <f>I226/J226</f>
        <v>1.0951003086419755</v>
      </c>
    </row>
    <row r="227" spans="1:14" x14ac:dyDescent="0.3">
      <c r="A227" s="29">
        <v>46008</v>
      </c>
      <c r="B227" s="8">
        <f>YEAR(A227)</f>
        <v>2025</v>
      </c>
      <c r="C227" s="27" t="str">
        <f>TEXT(A227,"MMMM")</f>
        <v>dezembro</v>
      </c>
      <c r="D227" s="30" t="s">
        <v>31</v>
      </c>
      <c r="E227" s="30" t="s">
        <v>21</v>
      </c>
      <c r="F227" s="31">
        <v>3.9363425925925927E-2</v>
      </c>
      <c r="G227" s="31">
        <v>0.41100694444444447</v>
      </c>
      <c r="H227" s="31">
        <v>0.75024305555555559</v>
      </c>
      <c r="I227" s="43">
        <f>H227-G227</f>
        <v>0.33923611111111113</v>
      </c>
      <c r="J227" s="43">
        <v>0.3</v>
      </c>
      <c r="K227" s="2">
        <f>I227-J227</f>
        <v>3.9236111111111138E-2</v>
      </c>
      <c r="L227" s="3"/>
      <c r="M227" s="4">
        <f>F227/I227</f>
        <v>0.11603548277038553</v>
      </c>
      <c r="N227" s="4">
        <f>I227/J227</f>
        <v>1.1307870370370372</v>
      </c>
    </row>
    <row r="228" spans="1:14" x14ac:dyDescent="0.3">
      <c r="A228" s="29">
        <v>46008</v>
      </c>
      <c r="B228" s="8">
        <f>YEAR(A228)</f>
        <v>2025</v>
      </c>
      <c r="C228" s="27" t="str">
        <f>TEXT(A228,"MMMM")</f>
        <v>dezembro</v>
      </c>
      <c r="D228" s="30" t="s">
        <v>25</v>
      </c>
      <c r="E228" s="30" t="s">
        <v>21</v>
      </c>
      <c r="F228" s="31">
        <v>4.3472222222222225E-2</v>
      </c>
      <c r="G228" s="31">
        <v>0.33357638888888891</v>
      </c>
      <c r="H228" s="31">
        <v>0.67585648148148147</v>
      </c>
      <c r="I228" s="43">
        <f>H228-G228</f>
        <v>0.34228009259259257</v>
      </c>
      <c r="J228" s="43">
        <v>0.3</v>
      </c>
      <c r="K228" s="2">
        <f>I228-J228</f>
        <v>4.2280092592592577E-2</v>
      </c>
      <c r="L228" s="3"/>
      <c r="M228" s="4">
        <f>F228/I228</f>
        <v>0.12700774354985969</v>
      </c>
      <c r="N228" s="4">
        <f>I228/J228</f>
        <v>1.1409336419753087</v>
      </c>
    </row>
    <row r="229" spans="1:14" x14ac:dyDescent="0.3">
      <c r="A229" s="29">
        <v>46008</v>
      </c>
      <c r="B229" s="8">
        <f>YEAR(A229)</f>
        <v>2025</v>
      </c>
      <c r="C229" s="27" t="str">
        <f>TEXT(A229,"MMMM")</f>
        <v>dezembro</v>
      </c>
      <c r="D229" s="30" t="s">
        <v>26</v>
      </c>
      <c r="E229" s="30" t="s">
        <v>15</v>
      </c>
      <c r="F229" s="31">
        <v>4.1539351851851855E-2</v>
      </c>
      <c r="G229" s="31">
        <v>0.33340277777777777</v>
      </c>
      <c r="H229" s="31">
        <v>0.63628472222222221</v>
      </c>
      <c r="I229" s="43">
        <f>H229-G229</f>
        <v>0.30288194444444444</v>
      </c>
      <c r="J229" s="43">
        <v>0.3</v>
      </c>
      <c r="K229" s="2">
        <f>I229-J229</f>
        <v>2.8819444444444509E-3</v>
      </c>
      <c r="L229" s="3"/>
      <c r="M229" s="4">
        <f>F229/I229</f>
        <v>0.13714700599946503</v>
      </c>
      <c r="N229" s="4">
        <f>I229/J229</f>
        <v>1.0096064814814816</v>
      </c>
    </row>
    <row r="230" spans="1:14" x14ac:dyDescent="0.3">
      <c r="A230" s="29">
        <v>46008</v>
      </c>
      <c r="B230" s="8">
        <f>YEAR(A230)</f>
        <v>2025</v>
      </c>
      <c r="C230" s="27" t="str">
        <f>TEXT(A230,"MMMM")</f>
        <v>dezembro</v>
      </c>
      <c r="D230" s="30" t="s">
        <v>65</v>
      </c>
      <c r="E230" s="30" t="s">
        <v>14</v>
      </c>
      <c r="F230" s="31">
        <v>4.9212962962962965E-2</v>
      </c>
      <c r="G230" s="31">
        <v>0.33374999999999999</v>
      </c>
      <c r="H230" s="31">
        <v>0.63656250000000003</v>
      </c>
      <c r="I230" s="43">
        <f>H230-G230</f>
        <v>0.30281250000000004</v>
      </c>
      <c r="J230" s="43">
        <v>0.3</v>
      </c>
      <c r="K230" s="2">
        <f>I230-J230</f>
        <v>2.8125000000000511E-3</v>
      </c>
      <c r="L230" s="3"/>
      <c r="M230" s="4">
        <f>F230/I230</f>
        <v>0.162519588732179</v>
      </c>
      <c r="N230" s="4">
        <f>I230/J230</f>
        <v>1.0093750000000001</v>
      </c>
    </row>
    <row r="231" spans="1:14" x14ac:dyDescent="0.3">
      <c r="A231" s="29">
        <v>46008</v>
      </c>
      <c r="B231" s="8">
        <f>YEAR(A231)</f>
        <v>2025</v>
      </c>
      <c r="C231" s="27" t="str">
        <f>TEXT(A231,"MMMM")</f>
        <v>dezembro</v>
      </c>
      <c r="D231" s="30" t="s">
        <v>27</v>
      </c>
      <c r="E231" s="30" t="s">
        <v>17</v>
      </c>
      <c r="F231" s="31">
        <v>4.0081018518518516E-2</v>
      </c>
      <c r="G231" s="31">
        <v>0.33377314814814812</v>
      </c>
      <c r="H231" s="31">
        <v>0.63547453703703705</v>
      </c>
      <c r="I231" s="43">
        <f>H231-G231</f>
        <v>0.30170138888888892</v>
      </c>
      <c r="J231" s="43">
        <v>0.3</v>
      </c>
      <c r="K231" s="2">
        <f>I231-J231</f>
        <v>1.7013888888889328E-3</v>
      </c>
      <c r="L231" s="3"/>
      <c r="M231" s="4">
        <f>F231/I231</f>
        <v>0.13284996355545323</v>
      </c>
      <c r="N231" s="4">
        <f>I231/J231</f>
        <v>1.0056712962962964</v>
      </c>
    </row>
    <row r="232" spans="1:14" x14ac:dyDescent="0.3">
      <c r="A232" s="29">
        <v>46008</v>
      </c>
      <c r="B232" s="8">
        <f>YEAR(A232)</f>
        <v>2025</v>
      </c>
      <c r="C232" s="27" t="str">
        <f>TEXT(A232,"MMMM")</f>
        <v>dezembro</v>
      </c>
      <c r="D232" s="30" t="s">
        <v>68</v>
      </c>
      <c r="E232" s="30" t="s">
        <v>34</v>
      </c>
      <c r="F232" s="31">
        <v>4.4884259259259263E-2</v>
      </c>
      <c r="G232" s="31">
        <v>0.43092592592592593</v>
      </c>
      <c r="H232" s="31">
        <v>0.75045138888888885</v>
      </c>
      <c r="I232" s="43">
        <f>H232-G232</f>
        <v>0.31952546296296291</v>
      </c>
      <c r="J232" s="43">
        <v>0.3</v>
      </c>
      <c r="K232" s="2">
        <f>I232-J232</f>
        <v>1.9525462962962925E-2</v>
      </c>
      <c r="L232" s="3"/>
      <c r="M232" s="4">
        <f>F232/I232</f>
        <v>0.14047161951678924</v>
      </c>
      <c r="N232" s="4">
        <f>I232/J232</f>
        <v>1.0650848765432097</v>
      </c>
    </row>
    <row r="233" spans="1:14" x14ac:dyDescent="0.3">
      <c r="A233" s="29">
        <v>46008</v>
      </c>
      <c r="B233" s="8">
        <f>YEAR(A233)</f>
        <v>2025</v>
      </c>
      <c r="C233" s="27" t="str">
        <f>TEXT(A233,"MMMM")</f>
        <v>dezembro</v>
      </c>
      <c r="D233" s="30" t="s">
        <v>32</v>
      </c>
      <c r="E233" s="30" t="s">
        <v>34</v>
      </c>
      <c r="F233" s="31">
        <v>4.4236111111111108E-2</v>
      </c>
      <c r="G233" s="31">
        <v>0.42472222222222222</v>
      </c>
      <c r="H233" s="31">
        <v>0.75020833333333337</v>
      </c>
      <c r="I233" s="43">
        <f>H233-G233</f>
        <v>0.32548611111111114</v>
      </c>
      <c r="J233" s="43">
        <v>0.3</v>
      </c>
      <c r="K233" s="2">
        <f>I233-J233</f>
        <v>2.5486111111111154E-2</v>
      </c>
      <c r="L233" s="3"/>
      <c r="M233" s="4">
        <f>F233/I233</f>
        <v>0.13590783016855129</v>
      </c>
      <c r="N233" s="4">
        <f>I233/J233</f>
        <v>1.0849537037037038</v>
      </c>
    </row>
    <row r="234" spans="1:14" x14ac:dyDescent="0.3">
      <c r="A234" s="29">
        <v>46008</v>
      </c>
      <c r="B234" s="8">
        <f>YEAR(A234)</f>
        <v>2025</v>
      </c>
      <c r="C234" s="27" t="str">
        <f>TEXT(A234,"MMMM")</f>
        <v>dezembro</v>
      </c>
      <c r="D234" s="30" t="s">
        <v>30</v>
      </c>
      <c r="E234" s="30" t="s">
        <v>34</v>
      </c>
      <c r="F234" s="31">
        <v>4.7708333333333332E-2</v>
      </c>
      <c r="G234" s="31">
        <v>0.33380787037037035</v>
      </c>
      <c r="H234" s="31">
        <v>0.63407407407407412</v>
      </c>
      <c r="I234" s="43">
        <f>H234-G234</f>
        <v>0.30026620370370377</v>
      </c>
      <c r="J234" s="43">
        <v>0.3</v>
      </c>
      <c r="K234" s="2">
        <f>I234-J234</f>
        <v>2.6620370370378232E-4</v>
      </c>
      <c r="L234" s="3"/>
      <c r="M234" s="4">
        <f>F234/I234</f>
        <v>0.15888679027097866</v>
      </c>
      <c r="N234" s="4">
        <f>I234/J234</f>
        <v>1.0008873456790126</v>
      </c>
    </row>
    <row r="235" spans="1:14" x14ac:dyDescent="0.3">
      <c r="A235" s="29">
        <v>46008</v>
      </c>
      <c r="B235" s="8">
        <f>YEAR(A235)</f>
        <v>2025</v>
      </c>
      <c r="C235" s="27" t="str">
        <f>TEXT(A235,"MMMM")</f>
        <v>dezembro</v>
      </c>
      <c r="D235" s="30" t="s">
        <v>28</v>
      </c>
      <c r="E235" s="30" t="s">
        <v>14</v>
      </c>
      <c r="F235" s="31">
        <v>0</v>
      </c>
      <c r="G235" s="31">
        <v>0.34256944444444443</v>
      </c>
      <c r="H235" s="31">
        <v>0.65194444444444444</v>
      </c>
      <c r="I235" s="43">
        <f>H235-G235</f>
        <v>0.30937500000000001</v>
      </c>
      <c r="J235" s="43">
        <v>0.3</v>
      </c>
      <c r="K235" s="2">
        <f>I235-J235</f>
        <v>9.3750000000000222E-3</v>
      </c>
      <c r="L235" s="3"/>
      <c r="M235" s="4">
        <f>F235/I235</f>
        <v>0</v>
      </c>
      <c r="N235" s="4">
        <f>I235/J235</f>
        <v>1.03125</v>
      </c>
    </row>
    <row r="236" spans="1:14" x14ac:dyDescent="0.3">
      <c r="A236" s="29">
        <v>46008</v>
      </c>
      <c r="B236" s="8">
        <f>YEAR(A236)</f>
        <v>2025</v>
      </c>
      <c r="C236" s="27" t="str">
        <f>TEXT(A236,"MMMM")</f>
        <v>dezembro</v>
      </c>
      <c r="D236" s="30" t="s">
        <v>29</v>
      </c>
      <c r="E236" s="30" t="s">
        <v>14</v>
      </c>
      <c r="F236" s="31">
        <v>0</v>
      </c>
      <c r="G236" s="31">
        <v>0.33374999999999999</v>
      </c>
      <c r="H236" s="31">
        <v>0.63482638888888887</v>
      </c>
      <c r="I236" s="43">
        <f>H236-G236</f>
        <v>0.30107638888888888</v>
      </c>
      <c r="J236" s="43">
        <v>0.3</v>
      </c>
      <c r="K236" s="2">
        <f>I236-J236</f>
        <v>1.0763888888888906E-3</v>
      </c>
      <c r="L236" s="3"/>
      <c r="M236" s="4">
        <f>F236/I236</f>
        <v>0</v>
      </c>
      <c r="N236" s="4">
        <f>I236/J236</f>
        <v>1.0035879629629629</v>
      </c>
    </row>
    <row r="237" spans="1:14" x14ac:dyDescent="0.3">
      <c r="A237" s="29">
        <v>46009</v>
      </c>
      <c r="B237" s="8">
        <f>YEAR(A237)</f>
        <v>2025</v>
      </c>
      <c r="C237" s="27" t="str">
        <f>TEXT(A237,"MMMM")</f>
        <v>dezembro</v>
      </c>
      <c r="D237" s="30" t="s">
        <v>16</v>
      </c>
      <c r="E237" s="30" t="s">
        <v>34</v>
      </c>
      <c r="F237" s="31">
        <v>4.1134259259259259E-2</v>
      </c>
      <c r="G237" s="31">
        <v>0.33362268518518517</v>
      </c>
      <c r="H237" s="31">
        <v>0.63523148148148145</v>
      </c>
      <c r="I237" s="43">
        <f>H237-G237</f>
        <v>0.30160879629629628</v>
      </c>
      <c r="J237" s="43">
        <v>0.3</v>
      </c>
      <c r="K237" s="2">
        <f>I237-J237</f>
        <v>1.6087962962962887E-3</v>
      </c>
      <c r="L237" s="3"/>
      <c r="M237" s="4">
        <f>F237/I237</f>
        <v>0.13638282359261678</v>
      </c>
      <c r="N237" s="4">
        <f>I237/J237</f>
        <v>1.0053626543209877</v>
      </c>
    </row>
    <row r="238" spans="1:14" x14ac:dyDescent="0.3">
      <c r="A238" s="29">
        <v>46009</v>
      </c>
      <c r="B238" s="8">
        <f>YEAR(A238)</f>
        <v>2025</v>
      </c>
      <c r="C238" s="27" t="str">
        <f>TEXT(A238,"MMMM")</f>
        <v>dezembro</v>
      </c>
      <c r="D238" s="30" t="s">
        <v>47</v>
      </c>
      <c r="E238" s="30" t="s">
        <v>17</v>
      </c>
      <c r="F238" s="31">
        <v>3.2523148148148148E-2</v>
      </c>
      <c r="G238" s="31">
        <v>0.5196412037037037</v>
      </c>
      <c r="H238" s="31">
        <v>0.75041666666666662</v>
      </c>
      <c r="I238" s="43">
        <f>H238-G238</f>
        <v>0.23077546296296292</v>
      </c>
      <c r="J238" s="43">
        <v>0.25</v>
      </c>
      <c r="K238" s="2"/>
      <c r="L238" s="3">
        <f>J238-I238</f>
        <v>1.9224537037037082E-2</v>
      </c>
      <c r="M238" s="4">
        <f>F238/I238</f>
        <v>0.14092983599979941</v>
      </c>
      <c r="N238" s="4">
        <f>I238/J238</f>
        <v>0.92310185185185167</v>
      </c>
    </row>
    <row r="239" spans="1:14" x14ac:dyDescent="0.3">
      <c r="A239" s="29">
        <v>46009</v>
      </c>
      <c r="B239" s="8">
        <f>YEAR(A239)</f>
        <v>2025</v>
      </c>
      <c r="C239" s="27" t="str">
        <f>TEXT(A239,"MMMM")</f>
        <v>dezembro</v>
      </c>
      <c r="D239" s="30" t="s">
        <v>18</v>
      </c>
      <c r="E239" s="30" t="s">
        <v>14</v>
      </c>
      <c r="F239" s="31">
        <v>0</v>
      </c>
      <c r="G239" s="31">
        <v>0.33535879629629628</v>
      </c>
      <c r="H239" s="31">
        <v>0.63452546296296297</v>
      </c>
      <c r="I239" s="43">
        <f>H239-G239</f>
        <v>0.29916666666666669</v>
      </c>
      <c r="J239" s="43">
        <v>0.3</v>
      </c>
      <c r="K239" s="2"/>
      <c r="L239" s="3">
        <f>J239-I239</f>
        <v>8.3333333333329707E-4</v>
      </c>
      <c r="M239" s="4">
        <f>F239/I239</f>
        <v>0</v>
      </c>
      <c r="N239" s="4">
        <f>I239/J239</f>
        <v>0.99722222222222234</v>
      </c>
    </row>
    <row r="240" spans="1:14" x14ac:dyDescent="0.3">
      <c r="A240" s="29">
        <v>46009</v>
      </c>
      <c r="B240" s="8">
        <f>YEAR(A240)</f>
        <v>2025</v>
      </c>
      <c r="C240" s="27" t="str">
        <f>TEXT(A240,"MMMM")</f>
        <v>dezembro</v>
      </c>
      <c r="D240" s="30" t="s">
        <v>19</v>
      </c>
      <c r="E240" s="30" t="s">
        <v>17</v>
      </c>
      <c r="F240" s="31">
        <v>7.0127314814814809E-2</v>
      </c>
      <c r="G240" s="31">
        <v>0.34252314814814816</v>
      </c>
      <c r="H240" s="31">
        <v>0.63585648148148144</v>
      </c>
      <c r="I240" s="43">
        <f>H240-G240</f>
        <v>0.29333333333333328</v>
      </c>
      <c r="J240" s="43">
        <v>0.3</v>
      </c>
      <c r="K240" s="2"/>
      <c r="L240" s="3">
        <f>J240-I240</f>
        <v>6.6666666666667096E-3</v>
      </c>
      <c r="M240" s="4">
        <f>F240/I240</f>
        <v>0.23907039141414144</v>
      </c>
      <c r="N240" s="4">
        <f>I240/J240</f>
        <v>0.97777777777777763</v>
      </c>
    </row>
    <row r="241" spans="1:14" x14ac:dyDescent="0.3">
      <c r="A241" s="29">
        <v>46009</v>
      </c>
      <c r="B241" s="8">
        <f>YEAR(A241)</f>
        <v>2025</v>
      </c>
      <c r="C241" s="27" t="str">
        <f>TEXT(A241,"MMMM")</f>
        <v>dezembro</v>
      </c>
      <c r="D241" s="30" t="s">
        <v>20</v>
      </c>
      <c r="E241" s="30" t="s">
        <v>21</v>
      </c>
      <c r="F241" s="31">
        <v>4.9594907407407407E-2</v>
      </c>
      <c r="G241" s="31">
        <v>0.33583333333333332</v>
      </c>
      <c r="H241" s="31">
        <v>0.63365740740740739</v>
      </c>
      <c r="I241" s="43">
        <f>H241-G241</f>
        <v>0.29782407407407407</v>
      </c>
      <c r="J241" s="43">
        <v>0.3</v>
      </c>
      <c r="K241" s="2"/>
      <c r="L241" s="3">
        <f>J241-I241</f>
        <v>2.1759259259259145E-3</v>
      </c>
      <c r="M241" s="4">
        <f>F241/I241</f>
        <v>0.16652417223690347</v>
      </c>
      <c r="N241" s="4">
        <f>I241/J241</f>
        <v>0.99274691358024691</v>
      </c>
    </row>
    <row r="242" spans="1:14" x14ac:dyDescent="0.3">
      <c r="A242" s="29">
        <v>46009</v>
      </c>
      <c r="B242" s="8">
        <f>YEAR(A242)</f>
        <v>2025</v>
      </c>
      <c r="C242" s="27" t="str">
        <f>TEXT(A242,"MMMM")</f>
        <v>dezembro</v>
      </c>
      <c r="D242" s="30" t="s">
        <v>69</v>
      </c>
      <c r="E242" s="30" t="s">
        <v>17</v>
      </c>
      <c r="F242" s="31">
        <v>6.1388888888888889E-2</v>
      </c>
      <c r="G242" s="31">
        <v>0.33521990740740742</v>
      </c>
      <c r="H242" s="31">
        <v>0.63418981481481485</v>
      </c>
      <c r="I242" s="43">
        <f>H242-G242</f>
        <v>0.29896990740740742</v>
      </c>
      <c r="J242" s="43">
        <v>0.3</v>
      </c>
      <c r="K242" s="2"/>
      <c r="L242" s="3">
        <f>J242-I242</f>
        <v>1.0300925925925686E-3</v>
      </c>
      <c r="M242" s="4">
        <f>F242/I242</f>
        <v>0.20533467539003522</v>
      </c>
      <c r="N242" s="4">
        <f>I242/J242</f>
        <v>0.9965663580246914</v>
      </c>
    </row>
    <row r="243" spans="1:14" x14ac:dyDescent="0.3">
      <c r="A243" s="29">
        <v>46009</v>
      </c>
      <c r="B243" s="8">
        <f>YEAR(A243)</f>
        <v>2025</v>
      </c>
      <c r="C243" s="27" t="str">
        <f>TEXT(A243,"MMMM")</f>
        <v>dezembro</v>
      </c>
      <c r="D243" s="30" t="s">
        <v>22</v>
      </c>
      <c r="E243" s="30" t="s">
        <v>21</v>
      </c>
      <c r="F243" s="31">
        <v>3.9606481481481479E-2</v>
      </c>
      <c r="G243" s="31">
        <v>0.41745370370370372</v>
      </c>
      <c r="H243" s="31">
        <v>0.71734953703703708</v>
      </c>
      <c r="I243" s="43">
        <f>H243-G243</f>
        <v>0.29989583333333336</v>
      </c>
      <c r="J243" s="43">
        <v>0.3</v>
      </c>
      <c r="K243" s="2"/>
      <c r="L243" s="3">
        <f>J243-I243</f>
        <v>1.0416666666662744E-4</v>
      </c>
      <c r="M243" s="4">
        <f>F243/I243</f>
        <v>0.13206746169580486</v>
      </c>
      <c r="N243" s="4">
        <f>I243/J243</f>
        <v>0.99965277777777795</v>
      </c>
    </row>
    <row r="244" spans="1:14" x14ac:dyDescent="0.3">
      <c r="A244" s="29">
        <v>46009</v>
      </c>
      <c r="B244" s="8">
        <f>YEAR(A244)</f>
        <v>2025</v>
      </c>
      <c r="C244" s="27" t="str">
        <f>TEXT(A244,"MMMM")</f>
        <v>dezembro</v>
      </c>
      <c r="D244" s="30" t="s">
        <v>33</v>
      </c>
      <c r="E244" s="30" t="s">
        <v>34</v>
      </c>
      <c r="F244" s="31">
        <v>3.7476851851851851E-2</v>
      </c>
      <c r="G244" s="31">
        <v>0.33372685185185186</v>
      </c>
      <c r="H244" s="31">
        <v>0.66721064814814812</v>
      </c>
      <c r="I244" s="43">
        <f>H244-G244</f>
        <v>0.33348379629629626</v>
      </c>
      <c r="J244" s="43">
        <v>0.3</v>
      </c>
      <c r="K244" s="2">
        <f>I244-J244</f>
        <v>3.3483796296296275E-2</v>
      </c>
      <c r="L244" s="3"/>
      <c r="M244" s="4">
        <f>F244/I244</f>
        <v>0.11237982854961304</v>
      </c>
      <c r="N244" s="4">
        <f>I244/J244</f>
        <v>1.1116126543209877</v>
      </c>
    </row>
    <row r="245" spans="1:14" x14ac:dyDescent="0.3">
      <c r="A245" s="29">
        <v>46009</v>
      </c>
      <c r="B245" s="8">
        <f>YEAR(A245)</f>
        <v>2025</v>
      </c>
      <c r="C245" s="27" t="str">
        <f>TEXT(A245,"MMMM")</f>
        <v>dezembro</v>
      </c>
      <c r="D245" s="30" t="s">
        <v>23</v>
      </c>
      <c r="E245" s="30" t="s">
        <v>17</v>
      </c>
      <c r="F245" s="31">
        <v>6.9351851851851845E-2</v>
      </c>
      <c r="G245" s="31">
        <v>0.41607638888888887</v>
      </c>
      <c r="H245" s="31">
        <v>0.75028935185185186</v>
      </c>
      <c r="I245" s="43">
        <f>H245-G245</f>
        <v>0.33421296296296299</v>
      </c>
      <c r="J245" s="43">
        <v>0.3</v>
      </c>
      <c r="K245" s="2">
        <f>I245-J245</f>
        <v>3.4212962962963001E-2</v>
      </c>
      <c r="L245" s="3"/>
      <c r="M245" s="4">
        <f>F245/I245</f>
        <v>0.207507965092118</v>
      </c>
      <c r="N245" s="4">
        <f>I245/J245</f>
        <v>1.1140432098765434</v>
      </c>
    </row>
    <row r="246" spans="1:14" x14ac:dyDescent="0.3">
      <c r="A246" s="29">
        <v>46009</v>
      </c>
      <c r="B246" s="8">
        <f>YEAR(A246)</f>
        <v>2025</v>
      </c>
      <c r="C246" s="27" t="str">
        <f>TEXT(A246,"MMMM")</f>
        <v>dezembro</v>
      </c>
      <c r="D246" s="30" t="s">
        <v>31</v>
      </c>
      <c r="E246" s="30" t="s">
        <v>21</v>
      </c>
      <c r="F246" s="31">
        <v>3.7951388888888889E-2</v>
      </c>
      <c r="G246" s="31">
        <v>0.43814814814814818</v>
      </c>
      <c r="H246" s="31">
        <v>0.75131944444444443</v>
      </c>
      <c r="I246" s="43">
        <f>H246-G246</f>
        <v>0.31317129629629625</v>
      </c>
      <c r="J246" s="43">
        <v>0.3</v>
      </c>
      <c r="K246" s="2">
        <f>I246-J246</f>
        <v>1.3171296296296264E-2</v>
      </c>
      <c r="L246" s="3"/>
      <c r="M246" s="4">
        <f>F246/I246</f>
        <v>0.12118412299504769</v>
      </c>
      <c r="N246" s="4">
        <f>I246/J246</f>
        <v>1.0439043209876542</v>
      </c>
    </row>
    <row r="247" spans="1:14" x14ac:dyDescent="0.3">
      <c r="A247" s="29">
        <v>46009</v>
      </c>
      <c r="B247" s="8">
        <f>YEAR(A247)</f>
        <v>2025</v>
      </c>
      <c r="C247" s="27" t="str">
        <f>TEXT(A247,"MMMM")</f>
        <v>dezembro</v>
      </c>
      <c r="D247" s="30" t="s">
        <v>25</v>
      </c>
      <c r="E247" s="30" t="s">
        <v>21</v>
      </c>
      <c r="F247" s="31">
        <v>5.0428240740740739E-2</v>
      </c>
      <c r="G247" s="31">
        <v>0.33333333333333331</v>
      </c>
      <c r="H247" s="31">
        <v>0.6341782407407407</v>
      </c>
      <c r="I247" s="43">
        <f>H247-G247</f>
        <v>0.30084490740740738</v>
      </c>
      <c r="J247" s="43">
        <v>0.3</v>
      </c>
      <c r="K247" s="2">
        <f>I247-J247</f>
        <v>8.4490740740739145E-4</v>
      </c>
      <c r="L247" s="3"/>
      <c r="M247" s="4">
        <f>F247/I247</f>
        <v>0.16762205209094758</v>
      </c>
      <c r="N247" s="4">
        <f>I247/J247</f>
        <v>1.0028163580246914</v>
      </c>
    </row>
    <row r="248" spans="1:14" x14ac:dyDescent="0.3">
      <c r="A248" s="29">
        <v>46009</v>
      </c>
      <c r="B248" s="8">
        <f>YEAR(A248)</f>
        <v>2025</v>
      </c>
      <c r="C248" s="27" t="str">
        <f>TEXT(A248,"MMMM")</f>
        <v>dezembro</v>
      </c>
      <c r="D248" s="30" t="s">
        <v>26</v>
      </c>
      <c r="E248" s="30" t="s">
        <v>15</v>
      </c>
      <c r="F248" s="31">
        <v>4.4259259259259262E-2</v>
      </c>
      <c r="G248" s="31">
        <v>0.33408564814814817</v>
      </c>
      <c r="H248" s="31">
        <v>0.63534722222222217</v>
      </c>
      <c r="I248" s="43">
        <f>H248-G248</f>
        <v>0.301261574074074</v>
      </c>
      <c r="J248" s="43">
        <v>0.3</v>
      </c>
      <c r="K248" s="2">
        <f>I248-J248</f>
        <v>1.2615740740740122E-3</v>
      </c>
      <c r="L248" s="3"/>
      <c r="M248" s="4">
        <f>F248/I248</f>
        <v>0.14691305851166012</v>
      </c>
      <c r="N248" s="4">
        <f>I248/J248</f>
        <v>1.00420524691358</v>
      </c>
    </row>
    <row r="249" spans="1:14" x14ac:dyDescent="0.3">
      <c r="A249" s="29">
        <v>46009</v>
      </c>
      <c r="B249" s="8">
        <f>YEAR(A249)</f>
        <v>2025</v>
      </c>
      <c r="C249" s="27" t="str">
        <f>TEXT(A249,"MMMM")</f>
        <v>dezembro</v>
      </c>
      <c r="D249" s="30" t="s">
        <v>65</v>
      </c>
      <c r="E249" s="30" t="s">
        <v>14</v>
      </c>
      <c r="F249" s="31">
        <v>3.9444444444444442E-2</v>
      </c>
      <c r="G249" s="31">
        <v>0.33387731481481481</v>
      </c>
      <c r="H249" s="31">
        <v>0.63396990740740744</v>
      </c>
      <c r="I249" s="43">
        <f>H249-G249</f>
        <v>0.30009259259259263</v>
      </c>
      <c r="J249" s="43">
        <v>0.3</v>
      </c>
      <c r="K249" s="2">
        <f>I249-J249</f>
        <v>9.2592592592644074E-5</v>
      </c>
      <c r="L249" s="3"/>
      <c r="M249" s="4">
        <f>F249/I249</f>
        <v>0.13144091329836469</v>
      </c>
      <c r="N249" s="4">
        <f>I249/J249</f>
        <v>1.0003086419753089</v>
      </c>
    </row>
    <row r="250" spans="1:14" x14ac:dyDescent="0.3">
      <c r="A250" s="29">
        <v>46009</v>
      </c>
      <c r="B250" s="8">
        <f>YEAR(A250)</f>
        <v>2025</v>
      </c>
      <c r="C250" s="27" t="str">
        <f>TEXT(A250,"MMMM")</f>
        <v>dezembro</v>
      </c>
      <c r="D250" s="30" t="s">
        <v>27</v>
      </c>
      <c r="E250" s="30" t="s">
        <v>17</v>
      </c>
      <c r="F250" s="31">
        <v>5.9652777777777777E-2</v>
      </c>
      <c r="G250" s="31">
        <v>0.33373842592592595</v>
      </c>
      <c r="H250" s="31">
        <v>0.63394675925925925</v>
      </c>
      <c r="I250" s="43">
        <f>H250-G250</f>
        <v>0.3002083333333333</v>
      </c>
      <c r="J250" s="43">
        <v>0.3</v>
      </c>
      <c r="K250" s="2">
        <f>I250-J250</f>
        <v>2.0833333333331039E-4</v>
      </c>
      <c r="L250" s="3"/>
      <c r="M250" s="4">
        <f>F250/I250</f>
        <v>0.19870460328475598</v>
      </c>
      <c r="N250" s="4">
        <f>I250/J250</f>
        <v>1.0006944444444443</v>
      </c>
    </row>
    <row r="251" spans="1:14" x14ac:dyDescent="0.3">
      <c r="A251" s="29">
        <v>46009</v>
      </c>
      <c r="B251" s="8">
        <f>YEAR(A251)</f>
        <v>2025</v>
      </c>
      <c r="C251" s="27" t="str">
        <f>TEXT(A251,"MMMM")</f>
        <v>dezembro</v>
      </c>
      <c r="D251" s="30" t="s">
        <v>68</v>
      </c>
      <c r="E251" s="30" t="s">
        <v>34</v>
      </c>
      <c r="F251" s="31">
        <v>4.3425925925925923E-2</v>
      </c>
      <c r="G251" s="31">
        <v>0.42104166666666665</v>
      </c>
      <c r="H251" s="31">
        <v>0.75074074074074071</v>
      </c>
      <c r="I251" s="43">
        <f>H251-G251</f>
        <v>0.32969907407407406</v>
      </c>
      <c r="J251" s="43">
        <v>0.3</v>
      </c>
      <c r="K251" s="2">
        <f>I251-J251</f>
        <v>2.9699074074074072E-2</v>
      </c>
      <c r="L251" s="3"/>
      <c r="M251" s="4">
        <f>F251/I251</f>
        <v>0.13171382433476092</v>
      </c>
      <c r="N251" s="4">
        <f>I251/J251</f>
        <v>1.0989969135802469</v>
      </c>
    </row>
    <row r="252" spans="1:14" x14ac:dyDescent="0.3">
      <c r="A252" s="29">
        <v>46009</v>
      </c>
      <c r="B252" s="8">
        <f>YEAR(A252)</f>
        <v>2025</v>
      </c>
      <c r="C252" s="27" t="str">
        <f>TEXT(A252,"MMMM")</f>
        <v>dezembro</v>
      </c>
      <c r="D252" s="30" t="s">
        <v>32</v>
      </c>
      <c r="E252" s="30" t="s">
        <v>34</v>
      </c>
      <c r="F252" s="31">
        <v>4.449074074074074E-2</v>
      </c>
      <c r="G252" s="31">
        <v>0.42645833333333333</v>
      </c>
      <c r="H252" s="31">
        <v>0.75043981481481481</v>
      </c>
      <c r="I252" s="43">
        <f>H252-G252</f>
        <v>0.32398148148148148</v>
      </c>
      <c r="J252" s="43">
        <v>0.3</v>
      </c>
      <c r="K252" s="2">
        <f>I252-J252</f>
        <v>2.3981481481481493E-2</v>
      </c>
      <c r="L252" s="3"/>
      <c r="M252" s="4">
        <f>F252/I252</f>
        <v>0.13732494998571021</v>
      </c>
      <c r="N252" s="4">
        <f>I252/J252</f>
        <v>1.0799382716049384</v>
      </c>
    </row>
    <row r="253" spans="1:14" x14ac:dyDescent="0.3">
      <c r="A253" s="29">
        <v>46009</v>
      </c>
      <c r="B253" s="8">
        <f>YEAR(A253)</f>
        <v>2025</v>
      </c>
      <c r="C253" s="27" t="str">
        <f>TEXT(A253,"MMMM")</f>
        <v>dezembro</v>
      </c>
      <c r="D253" s="30" t="s">
        <v>30</v>
      </c>
      <c r="E253" s="30" t="s">
        <v>34</v>
      </c>
      <c r="F253" s="31">
        <v>4.3993055555555556E-2</v>
      </c>
      <c r="G253" s="31">
        <v>0.33399305555555553</v>
      </c>
      <c r="H253" s="31">
        <v>0.63523148148148145</v>
      </c>
      <c r="I253" s="43">
        <f>H253-G253</f>
        <v>0.30123842592592592</v>
      </c>
      <c r="J253" s="43">
        <v>0.3</v>
      </c>
      <c r="K253" s="2">
        <f>I253-J253</f>
        <v>1.2384259259259345E-3</v>
      </c>
      <c r="L253" s="3"/>
      <c r="M253" s="4">
        <f>F253/I253</f>
        <v>0.14604065009413303</v>
      </c>
      <c r="N253" s="4">
        <f>I253/J253</f>
        <v>1.004128086419753</v>
      </c>
    </row>
    <row r="254" spans="1:14" x14ac:dyDescent="0.3">
      <c r="A254" s="29">
        <v>46009</v>
      </c>
      <c r="B254" s="8">
        <f>YEAR(A254)</f>
        <v>2025</v>
      </c>
      <c r="C254" s="27" t="str">
        <f>TEXT(A254,"MMMM")</f>
        <v>dezembro</v>
      </c>
      <c r="D254" s="30" t="s">
        <v>28</v>
      </c>
      <c r="E254" s="30" t="s">
        <v>14</v>
      </c>
      <c r="F254" s="31">
        <v>0</v>
      </c>
      <c r="G254" s="31">
        <v>0.35252314814814817</v>
      </c>
      <c r="H254" s="31">
        <v>0.67304398148148148</v>
      </c>
      <c r="I254" s="43">
        <f>H254-G254</f>
        <v>0.32052083333333331</v>
      </c>
      <c r="J254" s="43">
        <v>0.3</v>
      </c>
      <c r="K254" s="2">
        <f>I254-J254</f>
        <v>2.0520833333333321E-2</v>
      </c>
      <c r="L254" s="3"/>
      <c r="M254" s="4">
        <f>F254/I254</f>
        <v>0</v>
      </c>
      <c r="N254" s="4">
        <f>I254/J254</f>
        <v>1.0684027777777778</v>
      </c>
    </row>
    <row r="255" spans="1:14" x14ac:dyDescent="0.3">
      <c r="A255" s="29">
        <v>46009</v>
      </c>
      <c r="B255" s="8">
        <f>YEAR(A255)</f>
        <v>2025</v>
      </c>
      <c r="C255" s="27" t="str">
        <f>TEXT(A255,"MMMM")</f>
        <v>dezembro</v>
      </c>
      <c r="D255" s="30" t="s">
        <v>29</v>
      </c>
      <c r="E255" s="30" t="s">
        <v>14</v>
      </c>
      <c r="F255" s="31">
        <v>0</v>
      </c>
      <c r="G255" s="31">
        <v>0.33431712962962962</v>
      </c>
      <c r="H255" s="31">
        <v>0.6333333333333333</v>
      </c>
      <c r="I255" s="43">
        <f>H255-G255</f>
        <v>0.29901620370370369</v>
      </c>
      <c r="J255" s="43">
        <v>0.3</v>
      </c>
      <c r="K255" s="2"/>
      <c r="L255" s="3">
        <f>J255-I255</f>
        <v>9.8379629629630205E-4</v>
      </c>
      <c r="M255" s="4">
        <f>F255/I255</f>
        <v>0</v>
      </c>
      <c r="N255" s="4">
        <f>I255/J255</f>
        <v>0.99672067901234562</v>
      </c>
    </row>
    <row r="256" spans="1:14" x14ac:dyDescent="0.3">
      <c r="A256" s="29">
        <v>46010</v>
      </c>
      <c r="B256" s="8">
        <f>YEAR(A256)</f>
        <v>2025</v>
      </c>
      <c r="C256" s="27" t="str">
        <f>TEXT(A256,"MMMM")</f>
        <v>dezembro</v>
      </c>
      <c r="D256" s="30" t="s">
        <v>16</v>
      </c>
      <c r="E256" s="30" t="s">
        <v>34</v>
      </c>
      <c r="F256" s="31">
        <v>3.3981481481481481E-2</v>
      </c>
      <c r="G256" s="31">
        <v>0.33407407407407408</v>
      </c>
      <c r="H256" s="31">
        <v>0.67377314814814815</v>
      </c>
      <c r="I256" s="43">
        <f>H256-G256</f>
        <v>0.33969907407407407</v>
      </c>
      <c r="J256" s="43">
        <v>0.3</v>
      </c>
      <c r="K256" s="2">
        <f>I256-J256</f>
        <v>3.9699074074074081E-2</v>
      </c>
      <c r="L256" s="3"/>
      <c r="M256" s="4">
        <f>F256/I256</f>
        <v>0.10003407155025554</v>
      </c>
      <c r="N256" s="4">
        <f>I256/J256</f>
        <v>1.1323302469135803</v>
      </c>
    </row>
    <row r="257" spans="1:14" x14ac:dyDescent="0.3">
      <c r="A257" s="29">
        <v>46010</v>
      </c>
      <c r="B257" s="8">
        <f>YEAR(A257)</f>
        <v>2025</v>
      </c>
      <c r="C257" s="27" t="str">
        <f>TEXT(A257,"MMMM")</f>
        <v>dezembro</v>
      </c>
      <c r="D257" s="30" t="s">
        <v>18</v>
      </c>
      <c r="E257" s="30" t="s">
        <v>14</v>
      </c>
      <c r="F257" s="31">
        <v>0</v>
      </c>
      <c r="G257" s="31">
        <v>0.33818287037037037</v>
      </c>
      <c r="H257" s="31">
        <v>0.63594907407407408</v>
      </c>
      <c r="I257" s="43">
        <f>H257-G257</f>
        <v>0.29776620370370371</v>
      </c>
      <c r="J257" s="43">
        <v>0.3</v>
      </c>
      <c r="K257" s="2"/>
      <c r="L257" s="3">
        <f>J257-I257</f>
        <v>2.2337962962962754E-3</v>
      </c>
      <c r="M257" s="4">
        <f>F257/I257</f>
        <v>0</v>
      </c>
      <c r="N257" s="4">
        <f>I257/J257</f>
        <v>0.99255401234567908</v>
      </c>
    </row>
    <row r="258" spans="1:14" x14ac:dyDescent="0.3">
      <c r="A258" s="29">
        <v>46010</v>
      </c>
      <c r="B258" s="8">
        <f>YEAR(A258)</f>
        <v>2025</v>
      </c>
      <c r="C258" s="27" t="str">
        <f>TEXT(A258,"MMMM")</f>
        <v>dezembro</v>
      </c>
      <c r="D258" s="30" t="s">
        <v>19</v>
      </c>
      <c r="E258" s="30" t="s">
        <v>17</v>
      </c>
      <c r="F258" s="31">
        <v>4.3159722222222224E-2</v>
      </c>
      <c r="G258" s="31">
        <v>0.33496527777777779</v>
      </c>
      <c r="H258" s="31">
        <v>0.66637731481481477</v>
      </c>
      <c r="I258" s="43">
        <f>H258-G258</f>
        <v>0.33141203703703698</v>
      </c>
      <c r="J258" s="43">
        <v>0.3</v>
      </c>
      <c r="K258" s="2">
        <f>I258-J258</f>
        <v>3.1412037037036988E-2</v>
      </c>
      <c r="L258" s="3"/>
      <c r="M258" s="4">
        <f>F258/I258</f>
        <v>0.13022979674512819</v>
      </c>
      <c r="N258" s="4">
        <f>I258/J258</f>
        <v>1.1047067901234566</v>
      </c>
    </row>
    <row r="259" spans="1:14" x14ac:dyDescent="0.3">
      <c r="A259" s="29">
        <v>46010</v>
      </c>
      <c r="B259" s="8">
        <f>YEAR(A259)</f>
        <v>2025</v>
      </c>
      <c r="C259" s="27" t="str">
        <f>TEXT(A259,"MMMM")</f>
        <v>dezembro</v>
      </c>
      <c r="D259" s="30" t="s">
        <v>20</v>
      </c>
      <c r="E259" s="30" t="s">
        <v>21</v>
      </c>
      <c r="F259" s="31">
        <v>2.1562499999999998E-2</v>
      </c>
      <c r="G259" s="31">
        <v>0.33392361111111113</v>
      </c>
      <c r="H259" s="31">
        <v>0.48273148148148148</v>
      </c>
      <c r="I259" s="43">
        <f>H259-G259</f>
        <v>0.14880787037037035</v>
      </c>
      <c r="J259" s="43">
        <v>0.3</v>
      </c>
      <c r="K259" s="2"/>
      <c r="L259" s="3">
        <f>J259-I259</f>
        <v>0.15119212962962963</v>
      </c>
      <c r="M259" s="4">
        <f>F259/I259</f>
        <v>0.14490161001788909</v>
      </c>
      <c r="N259" s="4">
        <f>I259/J259</f>
        <v>0.49602623456790118</v>
      </c>
    </row>
    <row r="260" spans="1:14" x14ac:dyDescent="0.3">
      <c r="A260" s="29">
        <v>46010</v>
      </c>
      <c r="B260" s="8">
        <f>YEAR(A260)</f>
        <v>2025</v>
      </c>
      <c r="C260" s="27" t="str">
        <f>TEXT(A260,"MMMM")</f>
        <v>dezembro</v>
      </c>
      <c r="D260" s="30" t="s">
        <v>22</v>
      </c>
      <c r="E260" s="30" t="s">
        <v>21</v>
      </c>
      <c r="F260" s="31">
        <v>4.175925925925926E-2</v>
      </c>
      <c r="G260" s="31">
        <v>0.45931712962962962</v>
      </c>
      <c r="H260" s="31">
        <v>0.72440972222222222</v>
      </c>
      <c r="I260" s="43">
        <f>H260-G260</f>
        <v>0.2650925925925926</v>
      </c>
      <c r="J260" s="43">
        <v>0.3</v>
      </c>
      <c r="K260" s="2"/>
      <c r="L260" s="3">
        <f>J260-I260</f>
        <v>3.4907407407407387E-2</v>
      </c>
      <c r="M260" s="4">
        <f>F260/I260</f>
        <v>0.15752706950750961</v>
      </c>
      <c r="N260" s="4">
        <f>I260/J260</f>
        <v>0.88364197530864208</v>
      </c>
    </row>
    <row r="261" spans="1:14" x14ac:dyDescent="0.3">
      <c r="A261" s="29">
        <v>46010</v>
      </c>
      <c r="B261" s="8">
        <f>YEAR(A261)</f>
        <v>2025</v>
      </c>
      <c r="C261" s="27" t="str">
        <f>TEXT(A261,"MMMM")</f>
        <v>dezembro</v>
      </c>
      <c r="D261" s="30" t="s">
        <v>33</v>
      </c>
      <c r="E261" s="30" t="s">
        <v>34</v>
      </c>
      <c r="F261" s="31">
        <v>3.7430555555555557E-2</v>
      </c>
      <c r="G261" s="31">
        <v>0.33372685185185186</v>
      </c>
      <c r="H261" s="31">
        <v>0.66048611111111111</v>
      </c>
      <c r="I261" s="43">
        <f>H261-G261</f>
        <v>0.32675925925925925</v>
      </c>
      <c r="J261" s="43">
        <v>0.3</v>
      </c>
      <c r="K261" s="2">
        <f>I261-J261</f>
        <v>2.675925925925926E-2</v>
      </c>
      <c r="L261" s="3"/>
      <c r="M261" s="4">
        <f>F261/I261</f>
        <v>0.11455086426749789</v>
      </c>
      <c r="N261" s="4">
        <f>I261/J261</f>
        <v>1.0891975308641975</v>
      </c>
    </row>
    <row r="262" spans="1:14" x14ac:dyDescent="0.3">
      <c r="A262" s="29">
        <v>46010</v>
      </c>
      <c r="B262" s="8">
        <f>YEAR(A262)</f>
        <v>2025</v>
      </c>
      <c r="C262" s="27" t="str">
        <f>TEXT(A262,"MMMM")</f>
        <v>dezembro</v>
      </c>
      <c r="D262" s="30" t="s">
        <v>23</v>
      </c>
      <c r="E262" s="30" t="s">
        <v>17</v>
      </c>
      <c r="F262" s="31">
        <v>4.2708333333333331E-3</v>
      </c>
      <c r="G262" s="31">
        <v>0.40459490740740739</v>
      </c>
      <c r="H262" s="31">
        <v>0.47387731481481482</v>
      </c>
      <c r="I262" s="43">
        <f>H262-G262</f>
        <v>6.9282407407407431E-2</v>
      </c>
      <c r="J262" s="43">
        <v>0.3</v>
      </c>
      <c r="K262" s="2"/>
      <c r="L262" s="3">
        <f>J262-I262</f>
        <v>0.23071759259259256</v>
      </c>
      <c r="M262" s="4">
        <f>F262/I262</f>
        <v>6.1643835616438332E-2</v>
      </c>
      <c r="N262" s="4">
        <f>I262/J262</f>
        <v>0.23094135802469146</v>
      </c>
    </row>
    <row r="263" spans="1:14" x14ac:dyDescent="0.3">
      <c r="A263" s="29">
        <v>46010</v>
      </c>
      <c r="B263" s="8">
        <f>YEAR(A263)</f>
        <v>2025</v>
      </c>
      <c r="C263" s="27" t="str">
        <f>TEXT(A263,"MMMM")</f>
        <v>dezembro</v>
      </c>
      <c r="D263" s="30" t="s">
        <v>31</v>
      </c>
      <c r="E263" s="30" t="s">
        <v>21</v>
      </c>
      <c r="F263" s="31">
        <v>6.122685185185185E-3</v>
      </c>
      <c r="G263" s="31">
        <v>0.40812500000000002</v>
      </c>
      <c r="H263" s="31">
        <v>0.45854166666666668</v>
      </c>
      <c r="I263" s="43">
        <f>H263-G263</f>
        <v>5.0416666666666665E-2</v>
      </c>
      <c r="J263" s="43">
        <v>0.3</v>
      </c>
      <c r="K263" s="2"/>
      <c r="L263" s="3">
        <f>J263-I263</f>
        <v>0.24958333333333332</v>
      </c>
      <c r="M263" s="4">
        <f>F263/I263</f>
        <v>0.12144168962350781</v>
      </c>
      <c r="N263" s="4">
        <f>I263/J263</f>
        <v>0.16805555555555557</v>
      </c>
    </row>
    <row r="264" spans="1:14" x14ac:dyDescent="0.3">
      <c r="A264" s="29">
        <v>46010</v>
      </c>
      <c r="B264" s="8">
        <f>YEAR(A264)</f>
        <v>2025</v>
      </c>
      <c r="C264" s="27" t="str">
        <f>TEXT(A264,"MMMM")</f>
        <v>dezembro</v>
      </c>
      <c r="D264" s="30" t="s">
        <v>25</v>
      </c>
      <c r="E264" s="30" t="s">
        <v>21</v>
      </c>
      <c r="F264" s="31">
        <v>4.3090277777777776E-2</v>
      </c>
      <c r="G264" s="31">
        <v>0.33333333333333331</v>
      </c>
      <c r="H264" s="31">
        <v>0.71849537037037037</v>
      </c>
      <c r="I264" s="43">
        <f>H264-G264</f>
        <v>0.38516203703703705</v>
      </c>
      <c r="J264" s="43">
        <v>0.3</v>
      </c>
      <c r="K264" s="2">
        <f>I264-J264</f>
        <v>8.5162037037037064E-2</v>
      </c>
      <c r="L264" s="3"/>
      <c r="M264" s="4">
        <f>F264/I264</f>
        <v>0.11187571368471662</v>
      </c>
      <c r="N264" s="4">
        <f>I264/J264</f>
        <v>1.2838734567901235</v>
      </c>
    </row>
    <row r="265" spans="1:14" x14ac:dyDescent="0.3">
      <c r="A265" s="29">
        <v>46010</v>
      </c>
      <c r="B265" s="8">
        <f>YEAR(A265)</f>
        <v>2025</v>
      </c>
      <c r="C265" s="27" t="str">
        <f>TEXT(A265,"MMMM")</f>
        <v>dezembro</v>
      </c>
      <c r="D265" s="30" t="s">
        <v>26</v>
      </c>
      <c r="E265" s="30" t="s">
        <v>15</v>
      </c>
      <c r="F265" s="31">
        <v>2.5127314814814814E-2</v>
      </c>
      <c r="G265" s="31">
        <v>0.33392361111111113</v>
      </c>
      <c r="H265" s="31">
        <v>0.71872685185185181</v>
      </c>
      <c r="I265" s="43">
        <f>H265-G265</f>
        <v>0.38480324074074068</v>
      </c>
      <c r="J265" s="43">
        <v>0.3</v>
      </c>
      <c r="K265" s="2">
        <f>I265-J265</f>
        <v>8.4803240740740693E-2</v>
      </c>
      <c r="L265" s="3"/>
      <c r="M265" s="4">
        <f>F265/I265</f>
        <v>6.5299124733058628E-2</v>
      </c>
      <c r="N265" s="4">
        <f>I265/J265</f>
        <v>1.2826774691358023</v>
      </c>
    </row>
    <row r="266" spans="1:14" x14ac:dyDescent="0.3">
      <c r="A266" s="29">
        <v>46010</v>
      </c>
      <c r="B266" s="8">
        <f>YEAR(A266)</f>
        <v>2025</v>
      </c>
      <c r="C266" s="27" t="str">
        <f>TEXT(A266,"MMMM")</f>
        <v>dezembro</v>
      </c>
      <c r="D266" s="30" t="s">
        <v>65</v>
      </c>
      <c r="E266" s="30" t="s">
        <v>14</v>
      </c>
      <c r="F266" s="31">
        <v>1.0462962962962962E-2</v>
      </c>
      <c r="G266" s="31">
        <v>0.33393518518518517</v>
      </c>
      <c r="H266" s="31">
        <v>0.47658564814814813</v>
      </c>
      <c r="I266" s="43">
        <f>H266-G266</f>
        <v>0.14265046296296297</v>
      </c>
      <c r="J266" s="43">
        <v>0.3</v>
      </c>
      <c r="K266" s="2"/>
      <c r="L266" s="3">
        <f>J266-I266</f>
        <v>0.15734953703703702</v>
      </c>
      <c r="M266" s="4">
        <f>F266/I266</f>
        <v>7.3346855983772816E-2</v>
      </c>
      <c r="N266" s="4">
        <f>I266/J266</f>
        <v>0.47550154320987659</v>
      </c>
    </row>
    <row r="267" spans="1:14" x14ac:dyDescent="0.3">
      <c r="A267" s="29">
        <v>46010</v>
      </c>
      <c r="B267" s="8">
        <f>YEAR(A267)</f>
        <v>2025</v>
      </c>
      <c r="C267" s="27" t="str">
        <f>TEXT(A267,"MMMM")</f>
        <v>dezembro</v>
      </c>
      <c r="D267" s="30" t="s">
        <v>27</v>
      </c>
      <c r="E267" s="30" t="s">
        <v>17</v>
      </c>
      <c r="F267" s="31">
        <v>4.5034722222222219E-2</v>
      </c>
      <c r="G267" s="31">
        <v>0.33407407407407408</v>
      </c>
      <c r="H267" s="31">
        <v>0.71875</v>
      </c>
      <c r="I267" s="43">
        <f>H267-G267</f>
        <v>0.38467592592592592</v>
      </c>
      <c r="J267" s="43">
        <v>0.3</v>
      </c>
      <c r="K267" s="2">
        <f>I267-J267</f>
        <v>8.4675925925925932E-2</v>
      </c>
      <c r="L267" s="3"/>
      <c r="M267" s="4">
        <f>F267/I267</f>
        <v>0.11707184980142014</v>
      </c>
      <c r="N267" s="4">
        <f>I267/J267</f>
        <v>1.2822530864197532</v>
      </c>
    </row>
    <row r="268" spans="1:14" x14ac:dyDescent="0.3">
      <c r="A268" s="29">
        <v>46010</v>
      </c>
      <c r="B268" s="8">
        <f>YEAR(A268)</f>
        <v>2025</v>
      </c>
      <c r="C268" s="27" t="str">
        <f>TEXT(A268,"MMMM")</f>
        <v>dezembro</v>
      </c>
      <c r="D268" s="30" t="s">
        <v>68</v>
      </c>
      <c r="E268" s="30" t="s">
        <v>34</v>
      </c>
      <c r="F268" s="31">
        <v>3.1655092592592596E-2</v>
      </c>
      <c r="G268" s="31">
        <v>0.44657407407407407</v>
      </c>
      <c r="H268" s="31">
        <v>0.70322916666666668</v>
      </c>
      <c r="I268" s="43">
        <f>H268-G268</f>
        <v>0.25665509259259262</v>
      </c>
      <c r="J268" s="43">
        <v>0.3</v>
      </c>
      <c r="K268" s="2"/>
      <c r="L268" s="3">
        <f>J268-I268</f>
        <v>4.3344907407407374E-2</v>
      </c>
      <c r="M268" s="4">
        <f>F268/I268</f>
        <v>0.12333709131905299</v>
      </c>
      <c r="N268" s="4">
        <f>I268/J268</f>
        <v>0.85551697530864212</v>
      </c>
    </row>
    <row r="269" spans="1:14" x14ac:dyDescent="0.3">
      <c r="A269" s="29">
        <v>46010</v>
      </c>
      <c r="B269" s="8">
        <f>YEAR(A269)</f>
        <v>2025</v>
      </c>
      <c r="C269" s="27" t="str">
        <f>TEXT(A269,"MMMM")</f>
        <v>dezembro</v>
      </c>
      <c r="D269" s="30" t="s">
        <v>32</v>
      </c>
      <c r="E269" s="30" t="s">
        <v>34</v>
      </c>
      <c r="F269" s="31">
        <v>4.0729166666666664E-2</v>
      </c>
      <c r="G269" s="31">
        <v>0.43126157407407406</v>
      </c>
      <c r="H269" s="31">
        <v>0.72452546296296294</v>
      </c>
      <c r="I269" s="43">
        <f>H269-G269</f>
        <v>0.29326388888888888</v>
      </c>
      <c r="J269" s="43">
        <v>0.3</v>
      </c>
      <c r="K269" s="2"/>
      <c r="L269" s="3">
        <f>J269-I269</f>
        <v>6.7361111111111094E-3</v>
      </c>
      <c r="M269" s="4">
        <f>F269/I269</f>
        <v>0.13888231115320862</v>
      </c>
      <c r="N269" s="4">
        <f>I269/J269</f>
        <v>0.9775462962962963</v>
      </c>
    </row>
    <row r="270" spans="1:14" x14ac:dyDescent="0.3">
      <c r="A270" s="29">
        <v>46010</v>
      </c>
      <c r="B270" s="8">
        <f>YEAR(A270)</f>
        <v>2025</v>
      </c>
      <c r="C270" s="27" t="str">
        <f>TEXT(A270,"MMMM")</f>
        <v>dezembro</v>
      </c>
      <c r="D270" s="30" t="s">
        <v>28</v>
      </c>
      <c r="E270" s="30" t="s">
        <v>14</v>
      </c>
      <c r="F270" s="31">
        <v>0</v>
      </c>
      <c r="G270" s="31">
        <v>0.34417824074074072</v>
      </c>
      <c r="H270" s="31">
        <v>0.66159722222222217</v>
      </c>
      <c r="I270" s="43">
        <f>H270-G270</f>
        <v>0.31741898148148145</v>
      </c>
      <c r="J270" s="43">
        <v>0.3</v>
      </c>
      <c r="K270" s="2">
        <f>I270-J270</f>
        <v>1.7418981481481466E-2</v>
      </c>
      <c r="L270" s="3"/>
      <c r="M270" s="4">
        <f>F270/I270</f>
        <v>0</v>
      </c>
      <c r="N270" s="4">
        <f>I270/J270</f>
        <v>1.0580632716049383</v>
      </c>
    </row>
    <row r="271" spans="1:14" x14ac:dyDescent="0.3">
      <c r="A271" s="29">
        <v>46010</v>
      </c>
      <c r="B271" s="8">
        <f>YEAR(A271)</f>
        <v>2025</v>
      </c>
      <c r="C271" s="27" t="str">
        <f>TEXT(A271,"MMMM")</f>
        <v>dezembro</v>
      </c>
      <c r="D271" s="30" t="s">
        <v>29</v>
      </c>
      <c r="E271" s="30" t="s">
        <v>14</v>
      </c>
      <c r="F271" s="31">
        <v>0</v>
      </c>
      <c r="G271" s="31">
        <v>0.3411689814814815</v>
      </c>
      <c r="H271" s="31">
        <v>0.6333333333333333</v>
      </c>
      <c r="I271" s="43">
        <f>H271-G271</f>
        <v>0.2921643518518518</v>
      </c>
      <c r="J271" s="43">
        <v>0.3</v>
      </c>
      <c r="K271" s="2"/>
      <c r="L271" s="3">
        <f>J271-I271</f>
        <v>7.8356481481481888E-3</v>
      </c>
      <c r="M271" s="4">
        <f>F271/I271</f>
        <v>0</v>
      </c>
      <c r="N271" s="4">
        <f>I271/J271</f>
        <v>0.97388117283950604</v>
      </c>
    </row>
    <row r="272" spans="1:14" x14ac:dyDescent="0.3">
      <c r="A272" s="29">
        <v>46013</v>
      </c>
      <c r="B272" s="8">
        <f>YEAR(A272)</f>
        <v>2025</v>
      </c>
      <c r="C272" s="27" t="str">
        <f>TEXT(A272,"MMMM")</f>
        <v>dezembro</v>
      </c>
      <c r="D272" s="30" t="s">
        <v>16</v>
      </c>
      <c r="E272" s="30" t="s">
        <v>34</v>
      </c>
      <c r="F272" s="31">
        <v>3.4930555555555555E-2</v>
      </c>
      <c r="G272" s="31">
        <v>0.3341898148148148</v>
      </c>
      <c r="H272" s="31">
        <v>0.65839120370370374</v>
      </c>
      <c r="I272" s="43">
        <f>H272-G272</f>
        <v>0.32420138888888894</v>
      </c>
      <c r="J272" s="43">
        <v>0.3</v>
      </c>
      <c r="K272" s="2">
        <f>I272-J272</f>
        <v>2.4201388888888953E-2</v>
      </c>
      <c r="L272" s="3"/>
      <c r="M272" s="4">
        <f>F272/I272</f>
        <v>0.10774338652672162</v>
      </c>
      <c r="N272" s="4">
        <f>I272/J272</f>
        <v>1.0806712962962965</v>
      </c>
    </row>
    <row r="273" spans="1:14" x14ac:dyDescent="0.3">
      <c r="A273" s="29">
        <v>46013</v>
      </c>
      <c r="B273" s="8">
        <f>YEAR(A273)</f>
        <v>2025</v>
      </c>
      <c r="C273" s="27" t="str">
        <f>TEXT(A273,"MMMM")</f>
        <v>dezembro</v>
      </c>
      <c r="D273" s="30" t="s">
        <v>18</v>
      </c>
      <c r="E273" s="30" t="s">
        <v>14</v>
      </c>
      <c r="F273" s="31">
        <v>2.1122685185185185E-2</v>
      </c>
      <c r="G273" s="31">
        <v>0.34629629629629627</v>
      </c>
      <c r="H273" s="31">
        <v>0.63422453703703707</v>
      </c>
      <c r="I273" s="43">
        <f>H273-G273</f>
        <v>0.2879282407407408</v>
      </c>
      <c r="J273" s="43">
        <v>0.3</v>
      </c>
      <c r="K273" s="2"/>
      <c r="L273" s="3">
        <f>J273-I273</f>
        <v>1.2071759259259185E-2</v>
      </c>
      <c r="M273" s="4">
        <f>F273/I273</f>
        <v>7.3360935804156438E-2</v>
      </c>
      <c r="N273" s="4">
        <f>I273/J273</f>
        <v>0.95976080246913609</v>
      </c>
    </row>
    <row r="274" spans="1:14" x14ac:dyDescent="0.3">
      <c r="A274" s="29">
        <v>46013</v>
      </c>
      <c r="B274" s="8">
        <f>YEAR(A274)</f>
        <v>2025</v>
      </c>
      <c r="C274" s="27" t="str">
        <f>TEXT(A274,"MMMM")</f>
        <v>dezembro</v>
      </c>
      <c r="D274" s="30" t="s">
        <v>22</v>
      </c>
      <c r="E274" s="30" t="s">
        <v>21</v>
      </c>
      <c r="F274" s="31">
        <v>3.8229166666666668E-2</v>
      </c>
      <c r="G274" s="31">
        <v>0.45719907407407406</v>
      </c>
      <c r="H274" s="31">
        <v>0.75354166666666667</v>
      </c>
      <c r="I274" s="43">
        <f>H274-G274</f>
        <v>0.2963425925925926</v>
      </c>
      <c r="J274" s="43">
        <v>0.3</v>
      </c>
      <c r="K274" s="2"/>
      <c r="L274" s="3">
        <f>J274-I274</f>
        <v>3.657407407407387E-3</v>
      </c>
      <c r="M274" s="4">
        <f>F274/I274</f>
        <v>0.12900328073738479</v>
      </c>
      <c r="N274" s="4">
        <f>I274/J274</f>
        <v>0.98780864197530871</v>
      </c>
    </row>
    <row r="275" spans="1:14" x14ac:dyDescent="0.3">
      <c r="A275" s="29">
        <v>46013</v>
      </c>
      <c r="B275" s="8">
        <f>YEAR(A275)</f>
        <v>2025</v>
      </c>
      <c r="C275" s="27" t="str">
        <f>TEXT(A275,"MMMM")</f>
        <v>dezembro</v>
      </c>
      <c r="D275" s="30" t="s">
        <v>33</v>
      </c>
      <c r="E275" s="30" t="s">
        <v>34</v>
      </c>
      <c r="F275" s="31">
        <v>3.619212962962963E-2</v>
      </c>
      <c r="G275" s="31">
        <v>0.33372685185185186</v>
      </c>
      <c r="H275" s="31">
        <v>0.66701388888888891</v>
      </c>
      <c r="I275" s="43">
        <f>H275-G275</f>
        <v>0.33328703703703705</v>
      </c>
      <c r="J275" s="43">
        <v>0.3</v>
      </c>
      <c r="K275" s="2">
        <f>I275-J275</f>
        <v>3.3287037037037059E-2</v>
      </c>
      <c r="L275" s="3"/>
      <c r="M275" s="4">
        <f>F275/I275</f>
        <v>0.10859147103764412</v>
      </c>
      <c r="N275" s="4">
        <f>I275/J275</f>
        <v>1.1109567901234569</v>
      </c>
    </row>
    <row r="276" spans="1:14" x14ac:dyDescent="0.3">
      <c r="A276" s="29">
        <v>46013</v>
      </c>
      <c r="B276" s="8">
        <f>YEAR(A276)</f>
        <v>2025</v>
      </c>
      <c r="C276" s="27" t="str">
        <f>TEXT(A276,"MMMM")</f>
        <v>dezembro</v>
      </c>
      <c r="D276" s="30" t="s">
        <v>24</v>
      </c>
      <c r="E276" s="30" t="s">
        <v>14</v>
      </c>
      <c r="F276" s="31">
        <v>1.9756944444444445E-2</v>
      </c>
      <c r="G276" s="31">
        <v>0.46773148148148147</v>
      </c>
      <c r="H276" s="31">
        <v>0.75329861111111107</v>
      </c>
      <c r="I276" s="43">
        <f>H276-G276</f>
        <v>0.2855671296296296</v>
      </c>
      <c r="J276" s="43">
        <v>0.3</v>
      </c>
      <c r="K276" s="2"/>
      <c r="L276" s="3">
        <f>J276-I276</f>
        <v>1.4432870370370388E-2</v>
      </c>
      <c r="M276" s="4">
        <f>F276/I276</f>
        <v>6.9184939002148102E-2</v>
      </c>
      <c r="N276" s="4">
        <f>I276/J276</f>
        <v>0.95189043209876534</v>
      </c>
    </row>
    <row r="277" spans="1:14" x14ac:dyDescent="0.3">
      <c r="A277" s="29">
        <v>46013</v>
      </c>
      <c r="B277" s="8">
        <f>YEAR(A277)</f>
        <v>2025</v>
      </c>
      <c r="C277" s="27" t="str">
        <f>TEXT(A277,"MMMM")</f>
        <v>dezembro</v>
      </c>
      <c r="D277" s="30" t="s">
        <v>25</v>
      </c>
      <c r="E277" s="30" t="s">
        <v>21</v>
      </c>
      <c r="F277" s="31">
        <v>5.7256944444444444E-2</v>
      </c>
      <c r="G277" s="31">
        <v>0.33353009259259259</v>
      </c>
      <c r="H277" s="31">
        <v>0.65447916666666661</v>
      </c>
      <c r="I277" s="43">
        <f>H277-G277</f>
        <v>0.32094907407407403</v>
      </c>
      <c r="J277" s="43">
        <v>0.3</v>
      </c>
      <c r="K277" s="2">
        <f>I277-J277</f>
        <v>2.0949074074074037E-2</v>
      </c>
      <c r="L277" s="3"/>
      <c r="M277" s="4">
        <f>F277/I277</f>
        <v>0.17839884601514608</v>
      </c>
      <c r="N277" s="4">
        <f>I277/J277</f>
        <v>1.0698302469135801</v>
      </c>
    </row>
    <row r="278" spans="1:14" x14ac:dyDescent="0.3">
      <c r="A278" s="29">
        <v>46013</v>
      </c>
      <c r="B278" s="8">
        <f>YEAR(A278)</f>
        <v>2025</v>
      </c>
      <c r="C278" s="27" t="str">
        <f>TEXT(A278,"MMMM")</f>
        <v>dezembro</v>
      </c>
      <c r="D278" s="30" t="s">
        <v>26</v>
      </c>
      <c r="E278" s="30" t="s">
        <v>15</v>
      </c>
      <c r="F278" s="31">
        <v>1.3715277777777778E-2</v>
      </c>
      <c r="G278" s="31">
        <v>0.33344907407407409</v>
      </c>
      <c r="H278" s="31">
        <v>0.55072916666666671</v>
      </c>
      <c r="I278" s="43">
        <f>H278-G278</f>
        <v>0.21728009259259262</v>
      </c>
      <c r="J278" s="43">
        <v>0.3</v>
      </c>
      <c r="K278" s="2"/>
      <c r="L278" s="3">
        <f>J278-I278</f>
        <v>8.2719907407407367E-2</v>
      </c>
      <c r="M278" s="4">
        <f>F278/I278</f>
        <v>6.3122569647898571E-2</v>
      </c>
      <c r="N278" s="4">
        <f>I278/J278</f>
        <v>0.72426697530864215</v>
      </c>
    </row>
    <row r="279" spans="1:14" x14ac:dyDescent="0.3">
      <c r="A279" s="29">
        <v>46013</v>
      </c>
      <c r="B279" s="8">
        <f>YEAR(A279)</f>
        <v>2025</v>
      </c>
      <c r="C279" s="27" t="str">
        <f>TEXT(A279,"MMMM")</f>
        <v>dezembro</v>
      </c>
      <c r="D279" s="30" t="s">
        <v>27</v>
      </c>
      <c r="E279" s="30" t="s">
        <v>17</v>
      </c>
      <c r="F279" s="31">
        <v>0</v>
      </c>
      <c r="G279" s="31">
        <v>0.38194444444444442</v>
      </c>
      <c r="H279" s="31">
        <v>0.68263888888888891</v>
      </c>
      <c r="I279" s="43">
        <f>H279-G279</f>
        <v>0.30069444444444449</v>
      </c>
      <c r="J279" s="43">
        <v>0.3</v>
      </c>
      <c r="K279" s="2">
        <f>I279-J279</f>
        <v>6.9444444444449749E-4</v>
      </c>
      <c r="L279" s="3"/>
      <c r="M279" s="4">
        <f>F279/I279</f>
        <v>0</v>
      </c>
      <c r="N279" s="4">
        <f>I279/J279</f>
        <v>1.0023148148148151</v>
      </c>
    </row>
    <row r="280" spans="1:14" x14ac:dyDescent="0.3">
      <c r="A280" s="29">
        <v>46013</v>
      </c>
      <c r="B280" s="8">
        <f>YEAR(A280)</f>
        <v>2025</v>
      </c>
      <c r="C280" s="27" t="str">
        <f>TEXT(A280,"MMMM")</f>
        <v>dezembro</v>
      </c>
      <c r="D280" s="30" t="s">
        <v>68</v>
      </c>
      <c r="E280" s="30" t="s">
        <v>34</v>
      </c>
      <c r="F280" s="31">
        <v>3.9560185185185184E-2</v>
      </c>
      <c r="G280" s="31">
        <v>0.42310185185185184</v>
      </c>
      <c r="H280" s="31">
        <v>0.75026620370370367</v>
      </c>
      <c r="I280" s="43">
        <f>H280-G280</f>
        <v>0.32716435185185183</v>
      </c>
      <c r="J280" s="43">
        <v>0.3</v>
      </c>
      <c r="K280" s="2">
        <f>I280-J280</f>
        <v>2.7164351851851842E-2</v>
      </c>
      <c r="L280" s="3"/>
      <c r="M280" s="4">
        <f>F280/I280</f>
        <v>0.12091838539639863</v>
      </c>
      <c r="N280" s="4">
        <f>I280/J280</f>
        <v>1.0905478395061727</v>
      </c>
    </row>
    <row r="281" spans="1:14" x14ac:dyDescent="0.3">
      <c r="A281" s="29">
        <v>46013</v>
      </c>
      <c r="B281" s="8">
        <f>YEAR(A281)</f>
        <v>2025</v>
      </c>
      <c r="C281" s="27" t="str">
        <f>TEXT(A281,"MMMM")</f>
        <v>dezembro</v>
      </c>
      <c r="D281" s="30" t="s">
        <v>32</v>
      </c>
      <c r="E281" s="30" t="s">
        <v>34</v>
      </c>
      <c r="F281" s="31">
        <v>4.2870370370370371E-2</v>
      </c>
      <c r="G281" s="31">
        <v>0.4229398148148148</v>
      </c>
      <c r="H281" s="31">
        <v>0.75025462962962963</v>
      </c>
      <c r="I281" s="43">
        <f>H281-G281</f>
        <v>0.32731481481481484</v>
      </c>
      <c r="J281" s="43">
        <v>0.3</v>
      </c>
      <c r="K281" s="2">
        <f>I281-J281</f>
        <v>2.7314814814814847E-2</v>
      </c>
      <c r="L281" s="3"/>
      <c r="M281" s="4">
        <f>F281/I281</f>
        <v>0.13097595473833096</v>
      </c>
      <c r="N281" s="4">
        <f>I281/J281</f>
        <v>1.0910493827160495</v>
      </c>
    </row>
    <row r="282" spans="1:14" x14ac:dyDescent="0.3">
      <c r="A282" s="29">
        <v>46013</v>
      </c>
      <c r="B282" s="8">
        <f>YEAR(A282)</f>
        <v>2025</v>
      </c>
      <c r="C282" s="27" t="str">
        <f>TEXT(A282,"MMMM")</f>
        <v>dezembro</v>
      </c>
      <c r="D282" s="30" t="s">
        <v>30</v>
      </c>
      <c r="E282" s="30" t="s">
        <v>34</v>
      </c>
      <c r="F282" s="31">
        <v>5.6168981481481479E-2</v>
      </c>
      <c r="G282" s="31">
        <v>0.34099537037037037</v>
      </c>
      <c r="H282" s="31">
        <v>0.67525462962962968</v>
      </c>
      <c r="I282" s="43">
        <f>H282-G282</f>
        <v>0.33425925925925931</v>
      </c>
      <c r="J282" s="43">
        <v>0.3</v>
      </c>
      <c r="K282" s="2">
        <f>I282-J282</f>
        <v>3.4259259259259323E-2</v>
      </c>
      <c r="L282" s="3"/>
      <c r="M282" s="4">
        <f>F282/I282</f>
        <v>0.16804016620498613</v>
      </c>
      <c r="N282" s="4">
        <f>I282/J282</f>
        <v>1.1141975308641978</v>
      </c>
    </row>
    <row r="283" spans="1:14" x14ac:dyDescent="0.3">
      <c r="A283" s="29">
        <v>46013</v>
      </c>
      <c r="B283" s="8">
        <f>YEAR(A283)</f>
        <v>2025</v>
      </c>
      <c r="C283" s="27" t="str">
        <f>TEXT(A283,"MMMM")</f>
        <v>dezembro</v>
      </c>
      <c r="D283" s="30" t="s">
        <v>28</v>
      </c>
      <c r="E283" s="30" t="s">
        <v>14</v>
      </c>
      <c r="F283" s="31">
        <v>3.2789351851851854E-2</v>
      </c>
      <c r="G283" s="31">
        <v>0.45500000000000002</v>
      </c>
      <c r="H283" s="31">
        <v>0.75420138888888888</v>
      </c>
      <c r="I283" s="43">
        <f>H283-G283</f>
        <v>0.29920138888888886</v>
      </c>
      <c r="J283" s="43">
        <v>0.3</v>
      </c>
      <c r="K283" s="2"/>
      <c r="L283" s="3">
        <f>J283-I283</f>
        <v>7.9861111111112493E-4</v>
      </c>
      <c r="M283" s="4">
        <f>F283/I283</f>
        <v>0.109589571003056</v>
      </c>
      <c r="N283" s="4">
        <f>I283/J283</f>
        <v>0.99733796296296295</v>
      </c>
    </row>
    <row r="284" spans="1:14" x14ac:dyDescent="0.3">
      <c r="A284" s="29">
        <v>46013</v>
      </c>
      <c r="B284" s="8">
        <f>YEAR(A284)</f>
        <v>2025</v>
      </c>
      <c r="C284" s="27" t="str">
        <f>TEXT(A284,"MMMM")</f>
        <v>dezembro</v>
      </c>
      <c r="D284" s="30" t="s">
        <v>29</v>
      </c>
      <c r="E284" s="30" t="s">
        <v>14</v>
      </c>
      <c r="F284" s="31">
        <v>2.7546296296296298E-2</v>
      </c>
      <c r="G284" s="31">
        <v>0.33337962962962964</v>
      </c>
      <c r="H284" s="31">
        <v>0.63368055555555558</v>
      </c>
      <c r="I284" s="43">
        <f>H284-G284</f>
        <v>0.30030092592592594</v>
      </c>
      <c r="J284" s="43">
        <v>0.3</v>
      </c>
      <c r="K284" s="2">
        <f>I284-J284</f>
        <v>3.0092592592595446E-4</v>
      </c>
      <c r="L284" s="3"/>
      <c r="M284" s="4">
        <f>F284/I284</f>
        <v>9.1728975564634246E-2</v>
      </c>
      <c r="N284" s="4">
        <f>I284/J284</f>
        <v>1.0010030864197532</v>
      </c>
    </row>
    <row r="285" spans="1:14" x14ac:dyDescent="0.3">
      <c r="A285" s="29">
        <v>46014</v>
      </c>
      <c r="B285" s="8">
        <f>YEAR(A285)</f>
        <v>2025</v>
      </c>
      <c r="C285" s="27" t="str">
        <f>TEXT(A285,"MMMM")</f>
        <v>dezembro</v>
      </c>
      <c r="D285" s="30" t="s">
        <v>16</v>
      </c>
      <c r="E285" s="30" t="s">
        <v>34</v>
      </c>
      <c r="F285" s="31">
        <v>2.8287037037037038E-2</v>
      </c>
      <c r="G285" s="31">
        <v>0.33358796296296295</v>
      </c>
      <c r="H285" s="31">
        <v>0.6334953703703704</v>
      </c>
      <c r="I285" s="43">
        <f>H285-G285</f>
        <v>0.29990740740740746</v>
      </c>
      <c r="J285" s="43">
        <v>0.3</v>
      </c>
      <c r="K285" s="2"/>
      <c r="L285" s="3">
        <f>J285-I285</f>
        <v>9.2592592592533052E-5</v>
      </c>
      <c r="M285" s="4">
        <f>F285/I285</f>
        <v>9.4319234331583804E-2</v>
      </c>
      <c r="N285" s="4">
        <f>I285/J285</f>
        <v>0.99969135802469156</v>
      </c>
    </row>
    <row r="286" spans="1:14" x14ac:dyDescent="0.3">
      <c r="A286" s="29">
        <v>46014</v>
      </c>
      <c r="B286" s="8">
        <f>YEAR(A286)</f>
        <v>2025</v>
      </c>
      <c r="C286" s="27" t="str">
        <f>TEXT(A286,"MMMM")</f>
        <v>dezembro</v>
      </c>
      <c r="D286" s="30" t="s">
        <v>18</v>
      </c>
      <c r="E286" s="30" t="s">
        <v>14</v>
      </c>
      <c r="F286" s="31">
        <v>2.0868055555555556E-2</v>
      </c>
      <c r="G286" s="31">
        <v>0.3334375</v>
      </c>
      <c r="H286" s="31">
        <v>0.63399305555555552</v>
      </c>
      <c r="I286" s="43">
        <f>H286-G286</f>
        <v>0.30055555555555552</v>
      </c>
      <c r="J286" s="43">
        <v>0.3</v>
      </c>
      <c r="K286" s="2">
        <f>I286-J286</f>
        <v>5.5555555555553138E-4</v>
      </c>
      <c r="L286" s="3"/>
      <c r="M286" s="4">
        <f>F286/I286</f>
        <v>6.9431608133086881E-2</v>
      </c>
      <c r="N286" s="4">
        <f>I286/J286</f>
        <v>1.0018518518518518</v>
      </c>
    </row>
    <row r="287" spans="1:14" x14ac:dyDescent="0.3">
      <c r="A287" s="29">
        <v>46014</v>
      </c>
      <c r="B287" s="8">
        <f>YEAR(A287)</f>
        <v>2025</v>
      </c>
      <c r="C287" s="27" t="str">
        <f>TEXT(A287,"MMMM")</f>
        <v>dezembro</v>
      </c>
      <c r="D287" s="30" t="s">
        <v>19</v>
      </c>
      <c r="E287" s="30" t="s">
        <v>17</v>
      </c>
      <c r="F287" s="31">
        <v>0</v>
      </c>
      <c r="G287" s="31">
        <v>0.34444444444444444</v>
      </c>
      <c r="H287" s="31">
        <v>0.6333333333333333</v>
      </c>
      <c r="I287" s="43">
        <f>H287-G287</f>
        <v>0.28888888888888886</v>
      </c>
      <c r="J287" s="43">
        <v>0.3</v>
      </c>
      <c r="K287" s="2"/>
      <c r="L287" s="3">
        <f>J287-I287</f>
        <v>1.1111111111111127E-2</v>
      </c>
      <c r="M287" s="4">
        <f>F287/I287</f>
        <v>0</v>
      </c>
      <c r="N287" s="4">
        <f>I287/J287</f>
        <v>0.96296296296296291</v>
      </c>
    </row>
    <row r="288" spans="1:14" x14ac:dyDescent="0.3">
      <c r="A288" s="29">
        <v>46014</v>
      </c>
      <c r="B288" s="8">
        <f>YEAR(A288)</f>
        <v>2025</v>
      </c>
      <c r="C288" s="27" t="str">
        <f>TEXT(A288,"MMMM")</f>
        <v>dezembro</v>
      </c>
      <c r="D288" s="30" t="s">
        <v>22</v>
      </c>
      <c r="E288" s="30" t="s">
        <v>21</v>
      </c>
      <c r="F288" s="31">
        <v>4.310185185185185E-2</v>
      </c>
      <c r="G288" s="31">
        <v>0.42245370370370372</v>
      </c>
      <c r="H288" s="31">
        <v>0.75015046296296295</v>
      </c>
      <c r="I288" s="43">
        <f>H288-G288</f>
        <v>0.32769675925925923</v>
      </c>
      <c r="J288" s="43">
        <v>0.3</v>
      </c>
      <c r="K288" s="2">
        <f>I288-J288</f>
        <v>2.769675925925924E-2</v>
      </c>
      <c r="L288" s="3"/>
      <c r="M288" s="4">
        <f>F288/I288</f>
        <v>0.1315296860099601</v>
      </c>
      <c r="N288" s="4">
        <f>I288/J288</f>
        <v>1.0923225308641975</v>
      </c>
    </row>
    <row r="289" spans="1:14" x14ac:dyDescent="0.3">
      <c r="A289" s="29">
        <v>46014</v>
      </c>
      <c r="B289" s="8">
        <f>YEAR(A289)</f>
        <v>2025</v>
      </c>
      <c r="C289" s="27" t="str">
        <f>TEXT(A289,"MMMM")</f>
        <v>dezembro</v>
      </c>
      <c r="D289" s="30" t="s">
        <v>33</v>
      </c>
      <c r="E289" s="30" t="s">
        <v>34</v>
      </c>
      <c r="F289" s="31">
        <v>4.1840277777777775E-2</v>
      </c>
      <c r="G289" s="31">
        <v>0.33372685185185186</v>
      </c>
      <c r="H289" s="31">
        <v>0.63398148148148148</v>
      </c>
      <c r="I289" s="43">
        <f>H289-G289</f>
        <v>0.30025462962962962</v>
      </c>
      <c r="J289" s="43">
        <v>0.3</v>
      </c>
      <c r="K289" s="2">
        <f>I289-J289</f>
        <v>2.5462962962963243E-4</v>
      </c>
      <c r="L289" s="3"/>
      <c r="M289" s="4">
        <f>F289/I289</f>
        <v>0.13934931770873488</v>
      </c>
      <c r="N289" s="4">
        <f>I289/J289</f>
        <v>1.0008487654320988</v>
      </c>
    </row>
    <row r="290" spans="1:14" x14ac:dyDescent="0.3">
      <c r="A290" s="29">
        <v>46014</v>
      </c>
      <c r="B290" s="8">
        <f>YEAR(A290)</f>
        <v>2025</v>
      </c>
      <c r="C290" s="27" t="str">
        <f>TEXT(A290,"MMMM")</f>
        <v>dezembro</v>
      </c>
      <c r="D290" s="30" t="s">
        <v>24</v>
      </c>
      <c r="E290" s="30" t="s">
        <v>14</v>
      </c>
      <c r="F290" s="31">
        <v>3.0740740740740742E-2</v>
      </c>
      <c r="G290" s="31">
        <v>0.4503935185185185</v>
      </c>
      <c r="H290" s="31">
        <v>0.7502199074074074</v>
      </c>
      <c r="I290" s="43">
        <f>H290-G290</f>
        <v>0.29982638888888891</v>
      </c>
      <c r="J290" s="43">
        <v>0.3</v>
      </c>
      <c r="K290" s="2"/>
      <c r="L290" s="3">
        <f>J290-I290</f>
        <v>1.7361111111108274E-4</v>
      </c>
      <c r="M290" s="4">
        <f>F290/I290</f>
        <v>0.10252846940745029</v>
      </c>
      <c r="N290" s="4">
        <f>I290/J290</f>
        <v>0.99942129629629639</v>
      </c>
    </row>
    <row r="291" spans="1:14" x14ac:dyDescent="0.3">
      <c r="A291" s="29">
        <v>46014</v>
      </c>
      <c r="B291" s="8">
        <f>YEAR(A291)</f>
        <v>2025</v>
      </c>
      <c r="C291" s="27" t="str">
        <f>TEXT(A291,"MMMM")</f>
        <v>dezembro</v>
      </c>
      <c r="D291" s="30" t="s">
        <v>25</v>
      </c>
      <c r="E291" s="30" t="s">
        <v>21</v>
      </c>
      <c r="F291" s="31">
        <v>5.1215277777777776E-2</v>
      </c>
      <c r="G291" s="31">
        <v>0.3457175925925926</v>
      </c>
      <c r="H291" s="31">
        <v>0.63561342592592596</v>
      </c>
      <c r="I291" s="43">
        <f>H291-G291</f>
        <v>0.28989583333333335</v>
      </c>
      <c r="J291" s="43">
        <v>0.3</v>
      </c>
      <c r="K291" s="2"/>
      <c r="L291" s="3">
        <f>J291-I291</f>
        <v>1.0104166666666636E-2</v>
      </c>
      <c r="M291" s="4">
        <f>F291/I291</f>
        <v>0.17666786441489998</v>
      </c>
      <c r="N291" s="4">
        <f>I291/J291</f>
        <v>0.96631944444444451</v>
      </c>
    </row>
    <row r="292" spans="1:14" x14ac:dyDescent="0.3">
      <c r="A292" s="29">
        <v>46014</v>
      </c>
      <c r="B292" s="8">
        <f>YEAR(A292)</f>
        <v>2025</v>
      </c>
      <c r="C292" s="27" t="str">
        <f>TEXT(A292,"MMMM")</f>
        <v>dezembro</v>
      </c>
      <c r="D292" s="30" t="s">
        <v>26</v>
      </c>
      <c r="E292" s="30" t="s">
        <v>15</v>
      </c>
      <c r="F292" s="31">
        <v>3.7361111111111109E-2</v>
      </c>
      <c r="G292" s="31">
        <v>0.3334375</v>
      </c>
      <c r="H292" s="31">
        <v>0.6342592592592593</v>
      </c>
      <c r="I292" s="43">
        <f>H292-G292</f>
        <v>0.3008217592592593</v>
      </c>
      <c r="J292" s="43">
        <v>0.3</v>
      </c>
      <c r="K292" s="2">
        <f>I292-J292</f>
        <v>8.217592592593137E-4</v>
      </c>
      <c r="L292" s="3"/>
      <c r="M292" s="4">
        <f>F292/I292</f>
        <v>0.12419683736678078</v>
      </c>
      <c r="N292" s="4">
        <f>I292/J292</f>
        <v>1.0027391975308644</v>
      </c>
    </row>
    <row r="293" spans="1:14" x14ac:dyDescent="0.3">
      <c r="A293" s="29">
        <v>46014</v>
      </c>
      <c r="B293" s="8">
        <f>YEAR(A293)</f>
        <v>2025</v>
      </c>
      <c r="C293" s="27" t="str">
        <f>TEXT(A293,"MMMM")</f>
        <v>dezembro</v>
      </c>
      <c r="D293" s="30" t="s">
        <v>27</v>
      </c>
      <c r="E293" s="30" t="s">
        <v>17</v>
      </c>
      <c r="F293" s="31">
        <v>0</v>
      </c>
      <c r="G293" s="31">
        <v>0.3334375</v>
      </c>
      <c r="H293" s="31">
        <v>0.6333333333333333</v>
      </c>
      <c r="I293" s="43">
        <f>H293-G293</f>
        <v>0.29989583333333331</v>
      </c>
      <c r="J293" s="43">
        <v>0.3</v>
      </c>
      <c r="K293" s="2"/>
      <c r="L293" s="3">
        <f>J293-I293</f>
        <v>1.0416666666668295E-4</v>
      </c>
      <c r="M293" s="4">
        <f>F293/I293</f>
        <v>0</v>
      </c>
      <c r="N293" s="4">
        <f>I293/J293</f>
        <v>0.99965277777777772</v>
      </c>
    </row>
    <row r="294" spans="1:14" x14ac:dyDescent="0.3">
      <c r="A294" s="29">
        <v>46014</v>
      </c>
      <c r="B294" s="8">
        <f>YEAR(A294)</f>
        <v>2025</v>
      </c>
      <c r="C294" s="27" t="str">
        <f>TEXT(A294,"MMMM")</f>
        <v>dezembro</v>
      </c>
      <c r="D294" s="30" t="s">
        <v>68</v>
      </c>
      <c r="E294" s="30" t="s">
        <v>34</v>
      </c>
      <c r="F294" s="31">
        <v>4.3842592592592593E-2</v>
      </c>
      <c r="G294" s="31">
        <v>0.45087962962962963</v>
      </c>
      <c r="H294" s="31">
        <v>0.75031250000000005</v>
      </c>
      <c r="I294" s="43">
        <f>H294-G294</f>
        <v>0.29943287037037042</v>
      </c>
      <c r="J294" s="43">
        <v>0.3</v>
      </c>
      <c r="K294" s="2"/>
      <c r="L294" s="3">
        <f>J294-I294</f>
        <v>5.6712962962957025E-4</v>
      </c>
      <c r="M294" s="4">
        <f>F294/I294</f>
        <v>0.14641877005140888</v>
      </c>
      <c r="N294" s="4">
        <f>I294/J294</f>
        <v>0.99810956790123473</v>
      </c>
    </row>
    <row r="295" spans="1:14" x14ac:dyDescent="0.3">
      <c r="A295" s="29">
        <v>46014</v>
      </c>
      <c r="B295" s="8">
        <f>YEAR(A295)</f>
        <v>2025</v>
      </c>
      <c r="C295" s="27" t="str">
        <f>TEXT(A295,"MMMM")</f>
        <v>dezembro</v>
      </c>
      <c r="D295" s="30" t="s">
        <v>32</v>
      </c>
      <c r="E295" s="30" t="s">
        <v>34</v>
      </c>
      <c r="F295" s="31">
        <v>4.4131944444444446E-2</v>
      </c>
      <c r="G295" s="31">
        <v>0.41097222222222224</v>
      </c>
      <c r="H295" s="31">
        <v>0.75015046296296295</v>
      </c>
      <c r="I295" s="43">
        <f>H295-G295</f>
        <v>0.33917824074074071</v>
      </c>
      <c r="J295" s="43">
        <v>0.3</v>
      </c>
      <c r="K295" s="2">
        <f>I295-J295</f>
        <v>3.9178240740740722E-2</v>
      </c>
      <c r="L295" s="3"/>
      <c r="M295" s="4">
        <f>F295/I295</f>
        <v>0.13011431496331685</v>
      </c>
      <c r="N295" s="4">
        <f>I295/J295</f>
        <v>1.1305941358024691</v>
      </c>
    </row>
    <row r="296" spans="1:14" x14ac:dyDescent="0.3">
      <c r="A296" s="29">
        <v>46014</v>
      </c>
      <c r="B296" s="8">
        <f>YEAR(A296)</f>
        <v>2025</v>
      </c>
      <c r="C296" s="27" t="str">
        <f>TEXT(A296,"MMMM")</f>
        <v>dezembro</v>
      </c>
      <c r="D296" s="30" t="s">
        <v>30</v>
      </c>
      <c r="E296" s="30" t="s">
        <v>34</v>
      </c>
      <c r="F296" s="31">
        <v>5.3877314814814815E-2</v>
      </c>
      <c r="G296" s="31">
        <v>0.33438657407407407</v>
      </c>
      <c r="H296" s="31">
        <v>0.65008101851851852</v>
      </c>
      <c r="I296" s="43">
        <f>H296-G296</f>
        <v>0.31569444444444444</v>
      </c>
      <c r="J296" s="43">
        <v>0.3</v>
      </c>
      <c r="K296" s="2">
        <f>I296-J296</f>
        <v>1.5694444444444455E-2</v>
      </c>
      <c r="L296" s="3"/>
      <c r="M296" s="4">
        <f>F296/I296</f>
        <v>0.17066285379087842</v>
      </c>
      <c r="N296" s="4">
        <f>I296/J296</f>
        <v>1.0523148148148149</v>
      </c>
    </row>
    <row r="297" spans="1:14" x14ac:dyDescent="0.3">
      <c r="A297" s="29">
        <v>46014</v>
      </c>
      <c r="B297" s="8">
        <f>YEAR(A297)</f>
        <v>2025</v>
      </c>
      <c r="C297" s="27" t="str">
        <f>TEXT(A297,"MMMM")</f>
        <v>dezembro</v>
      </c>
      <c r="D297" s="30" t="s">
        <v>28</v>
      </c>
      <c r="E297" s="30" t="s">
        <v>14</v>
      </c>
      <c r="F297" s="31">
        <v>4.4259259259259262E-2</v>
      </c>
      <c r="G297" s="31">
        <v>0.45271990740740742</v>
      </c>
      <c r="H297" s="31">
        <v>0.75130787037037039</v>
      </c>
      <c r="I297" s="43">
        <f>H297-G297</f>
        <v>0.29858796296296297</v>
      </c>
      <c r="J297" s="43">
        <v>0.3</v>
      </c>
      <c r="K297" s="2"/>
      <c r="L297" s="3">
        <f>J297-I297</f>
        <v>1.4120370370370172E-3</v>
      </c>
      <c r="M297" s="4">
        <f>F297/I297</f>
        <v>0.14822854484843787</v>
      </c>
      <c r="N297" s="4">
        <f>I297/J297</f>
        <v>0.99529320987654324</v>
      </c>
    </row>
    <row r="298" spans="1:14" x14ac:dyDescent="0.3">
      <c r="A298" s="29">
        <v>46014</v>
      </c>
      <c r="B298" s="8">
        <f>YEAR(A298)</f>
        <v>2025</v>
      </c>
      <c r="C298" s="27" t="str">
        <f>TEXT(A298,"MMMM")</f>
        <v>dezembro</v>
      </c>
      <c r="D298" s="30" t="s">
        <v>29</v>
      </c>
      <c r="E298" s="30" t="s">
        <v>14</v>
      </c>
      <c r="F298" s="31">
        <v>1.4537037037037038E-2</v>
      </c>
      <c r="G298" s="31">
        <v>0.3334375</v>
      </c>
      <c r="H298" s="31">
        <v>0.63504629629629628</v>
      </c>
      <c r="I298" s="43">
        <f>H298-G298</f>
        <v>0.30160879629629628</v>
      </c>
      <c r="J298" s="43">
        <v>0.3</v>
      </c>
      <c r="K298" s="2">
        <f>I298-J298</f>
        <v>1.6087962962962887E-3</v>
      </c>
      <c r="L298" s="3"/>
      <c r="M298" s="4">
        <f>F298/I298</f>
        <v>4.8198319198741325E-2</v>
      </c>
      <c r="N298" s="4">
        <f>I298/J298</f>
        <v>1.0053626543209877</v>
      </c>
    </row>
    <row r="299" spans="1:14" x14ac:dyDescent="0.3">
      <c r="A299" s="29">
        <v>46015</v>
      </c>
      <c r="B299" s="8">
        <f>YEAR(A299)</f>
        <v>2025</v>
      </c>
      <c r="C299" s="27" t="str">
        <f>TEXT(A299,"MMMM")</f>
        <v>dezembro</v>
      </c>
      <c r="D299" s="30" t="s">
        <v>18</v>
      </c>
      <c r="E299" s="30" t="s">
        <v>14</v>
      </c>
      <c r="F299" s="31">
        <v>0</v>
      </c>
      <c r="G299" s="31">
        <v>0.34269675925925924</v>
      </c>
      <c r="H299" s="31">
        <v>0.6333333333333333</v>
      </c>
      <c r="I299" s="43">
        <f>H299-G299</f>
        <v>0.29063657407407406</v>
      </c>
      <c r="J299" s="43">
        <v>0.3</v>
      </c>
      <c r="K299" s="2"/>
      <c r="L299" s="3">
        <f>J299-I299</f>
        <v>9.3634259259259278E-3</v>
      </c>
      <c r="M299" s="4">
        <f>F299/I299</f>
        <v>0</v>
      </c>
      <c r="N299" s="4">
        <f>I299/J299</f>
        <v>0.96878858024691361</v>
      </c>
    </row>
    <row r="300" spans="1:14" x14ac:dyDescent="0.3">
      <c r="A300" s="29">
        <v>46015</v>
      </c>
      <c r="B300" s="8">
        <f>YEAR(A300)</f>
        <v>2025</v>
      </c>
      <c r="C300" s="27" t="str">
        <f>TEXT(A300,"MMMM")</f>
        <v>dezembro</v>
      </c>
      <c r="D300" s="30" t="s">
        <v>19</v>
      </c>
      <c r="E300" s="30" t="s">
        <v>17</v>
      </c>
      <c r="F300" s="31">
        <v>1.6481481481481482E-2</v>
      </c>
      <c r="G300" s="31">
        <v>0.34355324074074073</v>
      </c>
      <c r="H300" s="31">
        <v>0.6333333333333333</v>
      </c>
      <c r="I300" s="43">
        <f>H300-G300</f>
        <v>0.28978009259259258</v>
      </c>
      <c r="J300" s="43">
        <v>0.3</v>
      </c>
      <c r="K300" s="2"/>
      <c r="L300" s="3">
        <f>J300-I300</f>
        <v>1.0219907407407414E-2</v>
      </c>
      <c r="M300" s="4">
        <f>F300/I300</f>
        <v>5.6875823780804413E-2</v>
      </c>
      <c r="N300" s="4">
        <f>I300/J300</f>
        <v>0.96593364197530862</v>
      </c>
    </row>
    <row r="301" spans="1:14" x14ac:dyDescent="0.3">
      <c r="A301" s="29">
        <v>46015</v>
      </c>
      <c r="B301" s="8">
        <f>YEAR(A301)</f>
        <v>2025</v>
      </c>
      <c r="C301" s="27" t="str">
        <f>TEXT(A301,"MMMM")</f>
        <v>dezembro</v>
      </c>
      <c r="D301" s="30" t="s">
        <v>69</v>
      </c>
      <c r="E301" s="30" t="s">
        <v>17</v>
      </c>
      <c r="F301" s="31">
        <v>0</v>
      </c>
      <c r="G301" s="31">
        <v>0.34311342592592592</v>
      </c>
      <c r="H301" s="31">
        <v>0.6333333333333333</v>
      </c>
      <c r="I301" s="43">
        <f>H301-G301</f>
        <v>0.29021990740740738</v>
      </c>
      <c r="J301" s="43">
        <v>0.3</v>
      </c>
      <c r="K301" s="2"/>
      <c r="L301" s="3">
        <f>J301-I301</f>
        <v>9.7800925925926041E-3</v>
      </c>
      <c r="M301" s="4">
        <f>F301/I301</f>
        <v>0</v>
      </c>
      <c r="N301" s="4">
        <f>I301/J301</f>
        <v>0.96739969135802462</v>
      </c>
    </row>
    <row r="302" spans="1:14" x14ac:dyDescent="0.3">
      <c r="A302" s="29">
        <v>46015</v>
      </c>
      <c r="B302" s="8">
        <f>YEAR(A302)</f>
        <v>2025</v>
      </c>
      <c r="C302" s="27" t="str">
        <f>TEXT(A302,"MMMM")</f>
        <v>dezembro</v>
      </c>
      <c r="D302" s="30" t="s">
        <v>22</v>
      </c>
      <c r="E302" s="30" t="s">
        <v>21</v>
      </c>
      <c r="F302" s="31">
        <v>0</v>
      </c>
      <c r="G302" s="31">
        <v>0.44774305555555555</v>
      </c>
      <c r="H302" s="31">
        <v>0.6333333333333333</v>
      </c>
      <c r="I302" s="43">
        <f>H302-G302</f>
        <v>0.18559027777777776</v>
      </c>
      <c r="J302" s="43">
        <v>0.3</v>
      </c>
      <c r="K302" s="2"/>
      <c r="L302" s="3">
        <f>J302-I302</f>
        <v>0.11440972222222223</v>
      </c>
      <c r="M302" s="4">
        <f>F302/I302</f>
        <v>0</v>
      </c>
      <c r="N302" s="4">
        <f>I302/J302</f>
        <v>0.61863425925925919</v>
      </c>
    </row>
    <row r="303" spans="1:14" x14ac:dyDescent="0.3">
      <c r="A303" s="29">
        <v>46015</v>
      </c>
      <c r="B303" s="8">
        <f>YEAR(A303)</f>
        <v>2025</v>
      </c>
      <c r="C303" s="27" t="str">
        <f>TEXT(A303,"MMMM")</f>
        <v>dezembro</v>
      </c>
      <c r="D303" s="30" t="s">
        <v>33</v>
      </c>
      <c r="E303" s="30" t="s">
        <v>34</v>
      </c>
      <c r="F303" s="31">
        <v>1.8773148148148146E-2</v>
      </c>
      <c r="G303" s="31">
        <v>0.33372685185185186</v>
      </c>
      <c r="H303" s="31">
        <v>0.6333333333333333</v>
      </c>
      <c r="I303" s="43">
        <f>H303-G303</f>
        <v>0.29960648148148145</v>
      </c>
      <c r="J303" s="43">
        <v>0.3</v>
      </c>
      <c r="K303" s="2"/>
      <c r="L303" s="3">
        <f>J303-I303</f>
        <v>3.9351851851854303E-4</v>
      </c>
      <c r="M303" s="4">
        <f>F303/I303</f>
        <v>6.2659352545777647E-2</v>
      </c>
      <c r="N303" s="4">
        <f>I303/J303</f>
        <v>0.99868827160493823</v>
      </c>
    </row>
    <row r="304" spans="1:14" x14ac:dyDescent="0.3">
      <c r="A304" s="29">
        <v>46015</v>
      </c>
      <c r="B304" s="8">
        <f>YEAR(A304)</f>
        <v>2025</v>
      </c>
      <c r="C304" s="27" t="str">
        <f>TEXT(A304,"MMMM")</f>
        <v>dezembro</v>
      </c>
      <c r="D304" s="30" t="s">
        <v>24</v>
      </c>
      <c r="E304" s="30" t="s">
        <v>14</v>
      </c>
      <c r="F304" s="31">
        <v>2.3043981481481481E-2</v>
      </c>
      <c r="G304" s="31">
        <v>0.34143518518518517</v>
      </c>
      <c r="H304" s="31">
        <v>0.6333333333333333</v>
      </c>
      <c r="I304" s="43">
        <f>H304-G304</f>
        <v>0.29189814814814813</v>
      </c>
      <c r="J304" s="43">
        <v>0.3</v>
      </c>
      <c r="K304" s="2"/>
      <c r="L304" s="3">
        <f>J304-I304</f>
        <v>8.1018518518518601E-3</v>
      </c>
      <c r="M304" s="4">
        <f>F304/I304</f>
        <v>7.8945281522601121E-2</v>
      </c>
      <c r="N304" s="4">
        <f>I304/J304</f>
        <v>0.97299382716049376</v>
      </c>
    </row>
    <row r="305" spans="1:14" x14ac:dyDescent="0.3">
      <c r="A305" s="29">
        <v>46015</v>
      </c>
      <c r="B305" s="8">
        <f>YEAR(A305)</f>
        <v>2025</v>
      </c>
      <c r="C305" s="27" t="str">
        <f>TEXT(A305,"MMMM")</f>
        <v>dezembro</v>
      </c>
      <c r="D305" s="30" t="s">
        <v>25</v>
      </c>
      <c r="E305" s="30" t="s">
        <v>21</v>
      </c>
      <c r="F305" s="31">
        <v>2.1261574074074075E-2</v>
      </c>
      <c r="G305" s="31">
        <v>0.33373842592592595</v>
      </c>
      <c r="H305" s="31">
        <v>0.6333333333333333</v>
      </c>
      <c r="I305" s="43">
        <f>H305-G305</f>
        <v>0.29959490740740735</v>
      </c>
      <c r="J305" s="43">
        <v>0.3</v>
      </c>
      <c r="K305" s="2"/>
      <c r="L305" s="3">
        <f>J305-I305</f>
        <v>4.0509259259263741E-4</v>
      </c>
      <c r="M305" s="4">
        <f>F305/I305</f>
        <v>7.0967741935483886E-2</v>
      </c>
      <c r="N305" s="4">
        <f>I305/J305</f>
        <v>0.9986496913580245</v>
      </c>
    </row>
    <row r="306" spans="1:14" x14ac:dyDescent="0.3">
      <c r="A306" s="29">
        <v>46015</v>
      </c>
      <c r="B306" s="8">
        <f>YEAR(A306)</f>
        <v>2025</v>
      </c>
      <c r="C306" s="27" t="str">
        <f>TEXT(A306,"MMMM")</f>
        <v>dezembro</v>
      </c>
      <c r="D306" s="30" t="s">
        <v>26</v>
      </c>
      <c r="E306" s="30" t="s">
        <v>15</v>
      </c>
      <c r="F306" s="31">
        <v>1.4027777777777778E-2</v>
      </c>
      <c r="G306" s="31">
        <v>0.33334490740740741</v>
      </c>
      <c r="H306" s="31">
        <v>0.6333333333333333</v>
      </c>
      <c r="I306" s="43">
        <f>H306-G306</f>
        <v>0.29998842592592589</v>
      </c>
      <c r="J306" s="43">
        <v>0.3</v>
      </c>
      <c r="K306" s="2"/>
      <c r="L306" s="3">
        <f>J306-I306</f>
        <v>1.1574074074094387E-5</v>
      </c>
      <c r="M306" s="4">
        <f>F306/I306</f>
        <v>4.6761063312627804E-2</v>
      </c>
      <c r="N306" s="4">
        <f>I306/J306</f>
        <v>0.99996141975308639</v>
      </c>
    </row>
    <row r="307" spans="1:14" x14ac:dyDescent="0.3">
      <c r="A307" s="29">
        <v>46015</v>
      </c>
      <c r="B307" s="8">
        <f>YEAR(A307)</f>
        <v>2025</v>
      </c>
      <c r="C307" s="27" t="str">
        <f>TEXT(A307,"MMMM")</f>
        <v>dezembro</v>
      </c>
      <c r="D307" s="30" t="s">
        <v>27</v>
      </c>
      <c r="E307" s="30" t="s">
        <v>17</v>
      </c>
      <c r="F307" s="31">
        <v>1.2997685185185185E-2</v>
      </c>
      <c r="G307" s="31">
        <v>0.33333333333333331</v>
      </c>
      <c r="H307" s="31">
        <v>0.6333333333333333</v>
      </c>
      <c r="I307" s="43">
        <f>H307-G307</f>
        <v>0.3</v>
      </c>
      <c r="J307" s="43">
        <v>0.3</v>
      </c>
      <c r="K307" s="2"/>
      <c r="L307" s="3">
        <f>J307-I307</f>
        <v>0</v>
      </c>
      <c r="M307" s="4">
        <f>F307/I307</f>
        <v>4.3325617283950617E-2</v>
      </c>
      <c r="N307" s="4">
        <f>I307/J307</f>
        <v>1</v>
      </c>
    </row>
    <row r="308" spans="1:14" x14ac:dyDescent="0.3">
      <c r="A308" s="29">
        <v>46015</v>
      </c>
      <c r="B308" s="8">
        <f>YEAR(A308)</f>
        <v>2025</v>
      </c>
      <c r="C308" s="27" t="str">
        <f>TEXT(A308,"MMMM")</f>
        <v>dezembro</v>
      </c>
      <c r="D308" s="30" t="s">
        <v>68</v>
      </c>
      <c r="E308" s="30" t="s">
        <v>34</v>
      </c>
      <c r="F308" s="31">
        <v>1.6273148148148148E-2</v>
      </c>
      <c r="G308" s="31">
        <v>0.34722222222222221</v>
      </c>
      <c r="H308" s="31">
        <v>0.6333333333333333</v>
      </c>
      <c r="I308" s="43">
        <f>H308-G308</f>
        <v>0.28611111111111109</v>
      </c>
      <c r="J308" s="43">
        <v>0.3</v>
      </c>
      <c r="K308" s="2"/>
      <c r="L308" s="3">
        <f>J308-I308</f>
        <v>1.3888888888888895E-2</v>
      </c>
      <c r="M308" s="4">
        <f>F308/I308</f>
        <v>5.6877022653721687E-2</v>
      </c>
      <c r="N308" s="4">
        <f>I308/J308</f>
        <v>0.95370370370370372</v>
      </c>
    </row>
    <row r="309" spans="1:14" x14ac:dyDescent="0.3">
      <c r="A309" s="29">
        <v>46015</v>
      </c>
      <c r="B309" s="8">
        <f>YEAR(A309)</f>
        <v>2025</v>
      </c>
      <c r="C309" s="27" t="str">
        <f>TEXT(A309,"MMMM")</f>
        <v>dezembro</v>
      </c>
      <c r="D309" s="30" t="s">
        <v>32</v>
      </c>
      <c r="E309" s="30" t="s">
        <v>34</v>
      </c>
      <c r="F309" s="31">
        <v>1.2291666666666666E-2</v>
      </c>
      <c r="G309" s="31">
        <v>0.34040509259259261</v>
      </c>
      <c r="H309" s="31">
        <v>0.6333333333333333</v>
      </c>
      <c r="I309" s="43">
        <f>H309-G309</f>
        <v>0.2929282407407407</v>
      </c>
      <c r="J309" s="43">
        <v>0.3</v>
      </c>
      <c r="K309" s="2"/>
      <c r="L309" s="3">
        <f>J309-I309</f>
        <v>7.0717592592592915E-3</v>
      </c>
      <c r="M309" s="4">
        <f>F309/I309</f>
        <v>4.1961357619819041E-2</v>
      </c>
      <c r="N309" s="4">
        <f>I309/J309</f>
        <v>0.97642746913580236</v>
      </c>
    </row>
    <row r="310" spans="1:14" x14ac:dyDescent="0.3">
      <c r="A310" s="29">
        <v>46015</v>
      </c>
      <c r="B310" s="8">
        <f>YEAR(A310)</f>
        <v>2025</v>
      </c>
      <c r="C310" s="27" t="str">
        <f>TEXT(A310,"MMMM")</f>
        <v>dezembro</v>
      </c>
      <c r="D310" s="30" t="s">
        <v>30</v>
      </c>
      <c r="E310" s="30" t="s">
        <v>34</v>
      </c>
      <c r="F310" s="31">
        <v>1.863425925925926E-2</v>
      </c>
      <c r="G310" s="31">
        <v>0.33416666666666667</v>
      </c>
      <c r="H310" s="31">
        <v>0.6333333333333333</v>
      </c>
      <c r="I310" s="43">
        <f>H310-G310</f>
        <v>0.29916666666666664</v>
      </c>
      <c r="J310" s="43">
        <v>0.3</v>
      </c>
      <c r="K310" s="2"/>
      <c r="L310" s="3">
        <f>J310-I310</f>
        <v>8.3333333333335258E-4</v>
      </c>
      <c r="M310" s="4">
        <f>F310/I310</f>
        <v>6.2287217579696699E-2</v>
      </c>
      <c r="N310" s="4">
        <f>I310/J310</f>
        <v>0.99722222222222212</v>
      </c>
    </row>
    <row r="311" spans="1:14" x14ac:dyDescent="0.3">
      <c r="A311" s="29">
        <v>46015</v>
      </c>
      <c r="B311" s="8">
        <f>YEAR(A311)</f>
        <v>2025</v>
      </c>
      <c r="C311" s="27" t="str">
        <f>TEXT(A311,"MMMM")</f>
        <v>dezembro</v>
      </c>
      <c r="D311" s="30" t="s">
        <v>28</v>
      </c>
      <c r="E311" s="30" t="s">
        <v>14</v>
      </c>
      <c r="F311" s="31">
        <v>3.0601851851851852E-2</v>
      </c>
      <c r="G311" s="31">
        <v>0.34021990740740743</v>
      </c>
      <c r="H311" s="31">
        <v>0.6333333333333333</v>
      </c>
      <c r="I311" s="43">
        <f>H311-G311</f>
        <v>0.29311342592592587</v>
      </c>
      <c r="J311" s="43">
        <v>0.3</v>
      </c>
      <c r="K311" s="2"/>
      <c r="L311" s="3">
        <f>J311-I311</f>
        <v>6.8865740740741144E-3</v>
      </c>
      <c r="M311" s="4">
        <f>F311/I311</f>
        <v>0.10440276406712737</v>
      </c>
      <c r="N311" s="4">
        <f>I311/J311</f>
        <v>0.97704475308641958</v>
      </c>
    </row>
    <row r="312" spans="1:14" x14ac:dyDescent="0.3">
      <c r="A312" s="29">
        <v>46015</v>
      </c>
      <c r="B312" s="8">
        <f>YEAR(A312)</f>
        <v>2025</v>
      </c>
      <c r="C312" s="27" t="str">
        <f>TEXT(A312,"MMMM")</f>
        <v>dezembro</v>
      </c>
      <c r="D312" s="30" t="s">
        <v>29</v>
      </c>
      <c r="E312" s="30" t="s">
        <v>14</v>
      </c>
      <c r="F312" s="31">
        <v>1.0150462962962964E-2</v>
      </c>
      <c r="G312" s="31">
        <v>0.33334490740740741</v>
      </c>
      <c r="H312" s="31">
        <v>0.6333333333333333</v>
      </c>
      <c r="I312" s="43">
        <f>H312-G312</f>
        <v>0.29998842592592589</v>
      </c>
      <c r="J312" s="43">
        <v>0.3</v>
      </c>
      <c r="K312" s="2"/>
      <c r="L312" s="3">
        <f>J312-I312</f>
        <v>1.1574074074094387E-5</v>
      </c>
      <c r="M312" s="4">
        <f>F312/I312</f>
        <v>3.3836181951464185E-2</v>
      </c>
      <c r="N312" s="4">
        <f>I312/J312</f>
        <v>0.99996141975308639</v>
      </c>
    </row>
    <row r="313" spans="1:14" x14ac:dyDescent="0.3">
      <c r="A313" s="29">
        <v>46020</v>
      </c>
      <c r="B313" s="8">
        <f>YEAR(A313)</f>
        <v>2025</v>
      </c>
      <c r="C313" s="27" t="str">
        <f>TEXT(A313,"MMMM")</f>
        <v>dezembro</v>
      </c>
      <c r="D313" s="30" t="s">
        <v>16</v>
      </c>
      <c r="E313" s="30" t="s">
        <v>34</v>
      </c>
      <c r="F313" s="31">
        <v>5.2187499999999998E-2</v>
      </c>
      <c r="G313" s="31">
        <v>0.33354166666666668</v>
      </c>
      <c r="H313" s="31">
        <v>0.63346064814814818</v>
      </c>
      <c r="I313" s="43">
        <f>H313-G313</f>
        <v>0.29991898148148149</v>
      </c>
      <c r="J313" s="43">
        <v>0.3</v>
      </c>
      <c r="K313" s="2"/>
      <c r="L313" s="3">
        <f>J313-I313</f>
        <v>8.1018518518494176E-5</v>
      </c>
      <c r="M313" s="4">
        <f>F313/I313</f>
        <v>0.17400532551229111</v>
      </c>
      <c r="N313" s="4">
        <f>I313/J313</f>
        <v>0.99972993827160506</v>
      </c>
    </row>
    <row r="314" spans="1:14" x14ac:dyDescent="0.3">
      <c r="A314" s="29">
        <v>46020</v>
      </c>
      <c r="B314" s="8">
        <f>YEAR(A314)</f>
        <v>2025</v>
      </c>
      <c r="C314" s="27" t="str">
        <f>TEXT(A314,"MMMM")</f>
        <v>dezembro</v>
      </c>
      <c r="D314" s="30" t="s">
        <v>18</v>
      </c>
      <c r="E314" s="30" t="s">
        <v>14</v>
      </c>
      <c r="F314" s="31">
        <v>2.0370370370370372E-2</v>
      </c>
      <c r="G314" s="31">
        <v>0.33795138888888887</v>
      </c>
      <c r="H314" s="31">
        <v>0.63515046296296296</v>
      </c>
      <c r="I314" s="43">
        <f>H314-G314</f>
        <v>0.29719907407407409</v>
      </c>
      <c r="J314" s="43">
        <v>0.3</v>
      </c>
      <c r="K314" s="2"/>
      <c r="L314" s="3">
        <f>J314-I314</f>
        <v>2.8009259259259012E-3</v>
      </c>
      <c r="M314" s="4">
        <f>F314/I314</f>
        <v>6.8541163642028197E-2</v>
      </c>
      <c r="N314" s="4">
        <f>I314/J314</f>
        <v>0.9906635802469137</v>
      </c>
    </row>
    <row r="315" spans="1:14" x14ac:dyDescent="0.3">
      <c r="A315" s="29">
        <v>46020</v>
      </c>
      <c r="B315" s="8">
        <f>YEAR(A315)</f>
        <v>2025</v>
      </c>
      <c r="C315" s="27" t="str">
        <f>TEXT(A315,"MMMM")</f>
        <v>dezembro</v>
      </c>
      <c r="D315" s="30" t="s">
        <v>19</v>
      </c>
      <c r="E315" s="30" t="s">
        <v>17</v>
      </c>
      <c r="F315" s="31">
        <v>5.5115740740740743E-2</v>
      </c>
      <c r="G315" s="31">
        <v>0.35059027777777779</v>
      </c>
      <c r="H315" s="31">
        <v>0.6370717592592593</v>
      </c>
      <c r="I315" s="43">
        <f>H315-G315</f>
        <v>0.2864814814814815</v>
      </c>
      <c r="J315" s="43">
        <v>0.3</v>
      </c>
      <c r="K315" s="2"/>
      <c r="L315" s="3">
        <f>J315-I315</f>
        <v>1.3518518518518485E-2</v>
      </c>
      <c r="M315" s="4">
        <f>F315/I315</f>
        <v>0.19238849385908208</v>
      </c>
      <c r="N315" s="4">
        <f>I315/J315</f>
        <v>0.95493827160493838</v>
      </c>
    </row>
    <row r="316" spans="1:14" x14ac:dyDescent="0.3">
      <c r="A316" s="29">
        <v>46020</v>
      </c>
      <c r="B316" s="8">
        <f>YEAR(A316)</f>
        <v>2025</v>
      </c>
      <c r="C316" s="27" t="str">
        <f>TEXT(A316,"MMMM")</f>
        <v>dezembro</v>
      </c>
      <c r="D316" s="30" t="s">
        <v>69</v>
      </c>
      <c r="E316" s="30" t="s">
        <v>17</v>
      </c>
      <c r="F316" s="31">
        <v>4.2048611111111113E-2</v>
      </c>
      <c r="G316" s="31">
        <v>0.33373842592592595</v>
      </c>
      <c r="H316" s="31">
        <v>0.63420138888888888</v>
      </c>
      <c r="I316" s="43">
        <f>H316-G316</f>
        <v>0.30046296296296293</v>
      </c>
      <c r="J316" s="43">
        <v>0.3</v>
      </c>
      <c r="K316" s="2">
        <f>I316-J316</f>
        <v>4.6296296296294281E-4</v>
      </c>
      <c r="L316" s="3"/>
      <c r="M316" s="4">
        <f>F316/I316</f>
        <v>0.13994607087827429</v>
      </c>
      <c r="N316" s="4">
        <f>I316/J316</f>
        <v>1.0015432098765431</v>
      </c>
    </row>
    <row r="317" spans="1:14" x14ac:dyDescent="0.3">
      <c r="A317" s="29">
        <v>46020</v>
      </c>
      <c r="B317" s="8">
        <f>YEAR(A317)</f>
        <v>2025</v>
      </c>
      <c r="C317" s="27" t="str">
        <f>TEXT(A317,"MMMM")</f>
        <v>dezembro</v>
      </c>
      <c r="D317" s="30" t="s">
        <v>22</v>
      </c>
      <c r="E317" s="30" t="s">
        <v>21</v>
      </c>
      <c r="F317" s="31">
        <v>4.494212962962963E-2</v>
      </c>
      <c r="G317" s="31">
        <v>0.41660879629629627</v>
      </c>
      <c r="H317" s="31">
        <v>0.75078703703703709</v>
      </c>
      <c r="I317" s="43">
        <f>H317-G317</f>
        <v>0.33417824074074082</v>
      </c>
      <c r="J317" s="43">
        <v>0.3</v>
      </c>
      <c r="K317" s="2">
        <f>I317-J317</f>
        <v>3.4178240740740828E-2</v>
      </c>
      <c r="L317" s="3"/>
      <c r="M317" s="4">
        <f>F317/I317</f>
        <v>0.13448550548955768</v>
      </c>
      <c r="N317" s="4">
        <f>I317/J317</f>
        <v>1.1139274691358028</v>
      </c>
    </row>
    <row r="318" spans="1:14" x14ac:dyDescent="0.3">
      <c r="A318" s="29">
        <v>46020</v>
      </c>
      <c r="B318" s="8">
        <f>YEAR(A318)</f>
        <v>2025</v>
      </c>
      <c r="C318" s="27" t="str">
        <f>TEXT(A318,"MMMM")</f>
        <v>dezembro</v>
      </c>
      <c r="D318" s="30" t="s">
        <v>33</v>
      </c>
      <c r="E318" s="30" t="s">
        <v>34</v>
      </c>
      <c r="F318" s="31">
        <v>3.8692129629629632E-2</v>
      </c>
      <c r="G318" s="31">
        <v>0.33372685185185186</v>
      </c>
      <c r="H318" s="31">
        <v>0.66711805555555559</v>
      </c>
      <c r="I318" s="43">
        <f>H318-G318</f>
        <v>0.33339120370370373</v>
      </c>
      <c r="J318" s="43">
        <v>0.3</v>
      </c>
      <c r="K318" s="2">
        <f>I318-J318</f>
        <v>3.3391203703703742E-2</v>
      </c>
      <c r="L318" s="3"/>
      <c r="M318" s="4">
        <f>F318/I318</f>
        <v>0.11605624023607013</v>
      </c>
      <c r="N318" s="4">
        <f>I318/J318</f>
        <v>1.1113040123456792</v>
      </c>
    </row>
    <row r="319" spans="1:14" x14ac:dyDescent="0.3">
      <c r="A319" s="29">
        <v>46020</v>
      </c>
      <c r="B319" s="8">
        <f>YEAR(A319)</f>
        <v>2025</v>
      </c>
      <c r="C319" s="27" t="str">
        <f>TEXT(A319,"MMMM")</f>
        <v>dezembro</v>
      </c>
      <c r="D319" s="30" t="s">
        <v>24</v>
      </c>
      <c r="E319" s="30" t="s">
        <v>14</v>
      </c>
      <c r="F319" s="31">
        <v>2.841435185185185E-2</v>
      </c>
      <c r="G319" s="31">
        <v>0.4503240740740741</v>
      </c>
      <c r="H319" s="31">
        <v>0.75101851851851853</v>
      </c>
      <c r="I319" s="43">
        <f>H319-G319</f>
        <v>0.30069444444444443</v>
      </c>
      <c r="J319" s="43">
        <v>0.3</v>
      </c>
      <c r="K319" s="2">
        <f>I319-J319</f>
        <v>6.9444444444444198E-4</v>
      </c>
      <c r="L319" s="3"/>
      <c r="M319" s="4">
        <f>F319/I319</f>
        <v>9.4495765973826015E-2</v>
      </c>
      <c r="N319" s="4">
        <f>I319/J319</f>
        <v>1.0023148148148149</v>
      </c>
    </row>
    <row r="320" spans="1:14" x14ac:dyDescent="0.3">
      <c r="A320" s="29">
        <v>46020</v>
      </c>
      <c r="B320" s="8">
        <f>YEAR(A320)</f>
        <v>2025</v>
      </c>
      <c r="C320" s="27" t="str">
        <f>TEXT(A320,"MMMM")</f>
        <v>dezembro</v>
      </c>
      <c r="D320" s="30" t="s">
        <v>25</v>
      </c>
      <c r="E320" s="30" t="s">
        <v>21</v>
      </c>
      <c r="F320" s="31">
        <v>2.1111111111111112E-2</v>
      </c>
      <c r="G320" s="31">
        <v>0.33358796296296295</v>
      </c>
      <c r="H320" s="31">
        <v>0.50755787037037037</v>
      </c>
      <c r="I320" s="43">
        <f>H320-G320</f>
        <v>0.17396990740740742</v>
      </c>
      <c r="J320" s="43">
        <v>0.3</v>
      </c>
      <c r="K320" s="2"/>
      <c r="L320" s="3">
        <f>J320-I320</f>
        <v>0.12603009259259257</v>
      </c>
      <c r="M320" s="4">
        <f>F320/I320</f>
        <v>0.12134921162929944</v>
      </c>
      <c r="N320" s="4">
        <f>I320/J320</f>
        <v>0.57989969135802477</v>
      </c>
    </row>
    <row r="321" spans="1:14" x14ac:dyDescent="0.3">
      <c r="A321" s="29">
        <v>46020</v>
      </c>
      <c r="B321" s="8">
        <f>YEAR(A321)</f>
        <v>2025</v>
      </c>
      <c r="C321" s="27" t="str">
        <f>TEXT(A321,"MMMM")</f>
        <v>dezembro</v>
      </c>
      <c r="D321" s="30" t="s">
        <v>26</v>
      </c>
      <c r="E321" s="30" t="s">
        <v>15</v>
      </c>
      <c r="F321" s="31">
        <v>4.6504629629629632E-2</v>
      </c>
      <c r="G321" s="31">
        <v>0.33337962962962964</v>
      </c>
      <c r="H321" s="31">
        <v>0.6759722222222222</v>
      </c>
      <c r="I321" s="43">
        <f>H321-G321</f>
        <v>0.34259259259259256</v>
      </c>
      <c r="J321" s="43">
        <v>0.3</v>
      </c>
      <c r="K321" s="2">
        <f>I321-J321</f>
        <v>4.2592592592592571E-2</v>
      </c>
      <c r="L321" s="3"/>
      <c r="M321" s="4">
        <f>F321/I321</f>
        <v>0.13574324324324327</v>
      </c>
      <c r="N321" s="4">
        <f>I321/J321</f>
        <v>1.1419753086419753</v>
      </c>
    </row>
    <row r="322" spans="1:14" x14ac:dyDescent="0.3">
      <c r="A322" s="29">
        <v>46020</v>
      </c>
      <c r="B322" s="8">
        <f>YEAR(A322)</f>
        <v>2025</v>
      </c>
      <c r="C322" s="27" t="str">
        <f>TEXT(A322,"MMMM")</f>
        <v>dezembro</v>
      </c>
      <c r="D322" s="30" t="s">
        <v>27</v>
      </c>
      <c r="E322" s="30" t="s">
        <v>17</v>
      </c>
      <c r="F322" s="31">
        <v>4.4594907407407409E-2</v>
      </c>
      <c r="G322" s="31">
        <v>0.33414351851851853</v>
      </c>
      <c r="H322" s="31">
        <v>0.63495370370370374</v>
      </c>
      <c r="I322" s="43">
        <f>H322-G322</f>
        <v>0.30081018518518521</v>
      </c>
      <c r="J322" s="43">
        <v>0.3</v>
      </c>
      <c r="K322" s="2">
        <f>I322-J322</f>
        <v>8.1018518518521931E-4</v>
      </c>
      <c r="L322" s="3"/>
      <c r="M322" s="4">
        <f>F322/I322</f>
        <v>0.14824932666410157</v>
      </c>
      <c r="N322" s="4">
        <f>I322/J322</f>
        <v>1.0027006172839508</v>
      </c>
    </row>
    <row r="323" spans="1:14" x14ac:dyDescent="0.3">
      <c r="A323" s="29">
        <v>46020</v>
      </c>
      <c r="B323" s="8">
        <f>YEAR(A323)</f>
        <v>2025</v>
      </c>
      <c r="C323" s="27" t="str">
        <f>TEXT(A323,"MMMM")</f>
        <v>dezembro</v>
      </c>
      <c r="D323" s="30" t="s">
        <v>68</v>
      </c>
      <c r="E323" s="30" t="s">
        <v>34</v>
      </c>
      <c r="F323" s="31">
        <v>4.3182870370370371E-2</v>
      </c>
      <c r="G323" s="31">
        <v>0.41766203703703703</v>
      </c>
      <c r="H323" s="31">
        <v>0.75054398148148149</v>
      </c>
      <c r="I323" s="43">
        <f>H323-G323</f>
        <v>0.33288194444444447</v>
      </c>
      <c r="J323" s="43">
        <v>0.3</v>
      </c>
      <c r="K323" s="2">
        <f>I323-J323</f>
        <v>3.2881944444444478E-2</v>
      </c>
      <c r="L323" s="3"/>
      <c r="M323" s="4">
        <f>F323/I323</f>
        <v>0.12972427940614026</v>
      </c>
      <c r="N323" s="4">
        <f>I323/J323</f>
        <v>1.1096064814814817</v>
      </c>
    </row>
    <row r="324" spans="1:14" x14ac:dyDescent="0.3">
      <c r="A324" s="29">
        <v>46020</v>
      </c>
      <c r="B324" s="8">
        <f>YEAR(A324)</f>
        <v>2025</v>
      </c>
      <c r="C324" s="27" t="str">
        <f>TEXT(A324,"MMMM")</f>
        <v>dezembro</v>
      </c>
      <c r="D324" s="30" t="s">
        <v>32</v>
      </c>
      <c r="E324" s="30" t="s">
        <v>34</v>
      </c>
      <c r="F324" s="31">
        <v>4.2743055555555555E-2</v>
      </c>
      <c r="G324" s="31">
        <v>0.40717592592592594</v>
      </c>
      <c r="H324" s="31">
        <v>0.75054398148148149</v>
      </c>
      <c r="I324" s="43">
        <f>H324-G324</f>
        <v>0.34336805555555555</v>
      </c>
      <c r="J324" s="43">
        <v>0.3</v>
      </c>
      <c r="K324" s="2">
        <f>I324-J324</f>
        <v>4.3368055555555562E-2</v>
      </c>
      <c r="L324" s="3"/>
      <c r="M324" s="4">
        <f>F324/I324</f>
        <v>0.12448174739609667</v>
      </c>
      <c r="N324" s="4">
        <f>I324/J324</f>
        <v>1.1445601851851852</v>
      </c>
    </row>
    <row r="325" spans="1:14" x14ac:dyDescent="0.3">
      <c r="A325" s="29">
        <v>46020</v>
      </c>
      <c r="B325" s="8">
        <f>YEAR(A325)</f>
        <v>2025</v>
      </c>
      <c r="C325" s="27" t="str">
        <f>TEXT(A325,"MMMM")</f>
        <v>dezembro</v>
      </c>
      <c r="D325" s="30" t="s">
        <v>30</v>
      </c>
      <c r="E325" s="30" t="s">
        <v>34</v>
      </c>
      <c r="F325" s="31">
        <v>4.9212962962962965E-2</v>
      </c>
      <c r="G325" s="31">
        <v>0.33356481481481481</v>
      </c>
      <c r="H325" s="31">
        <v>0.63533564814814814</v>
      </c>
      <c r="I325" s="43">
        <f>H325-G325</f>
        <v>0.30177083333333332</v>
      </c>
      <c r="J325" s="43">
        <v>0.3</v>
      </c>
      <c r="K325" s="2">
        <f>I325-J325</f>
        <v>1.7708333333333326E-3</v>
      </c>
      <c r="L325" s="3"/>
      <c r="M325" s="4">
        <f>F325/I325</f>
        <v>0.1630805814444061</v>
      </c>
      <c r="N325" s="4">
        <f>I325/J325</f>
        <v>1.0059027777777778</v>
      </c>
    </row>
    <row r="326" spans="1:14" x14ac:dyDescent="0.3">
      <c r="A326" s="29">
        <v>46020</v>
      </c>
      <c r="B326" s="8">
        <f>YEAR(A326)</f>
        <v>2025</v>
      </c>
      <c r="C326" s="27" t="str">
        <f>TEXT(A326,"MMMM")</f>
        <v>dezembro</v>
      </c>
      <c r="D326" s="30" t="s">
        <v>28</v>
      </c>
      <c r="E326" s="30" t="s">
        <v>14</v>
      </c>
      <c r="F326" s="31">
        <v>3.9895833333333332E-2</v>
      </c>
      <c r="G326" s="31">
        <v>0.43807870370370372</v>
      </c>
      <c r="H326" s="31">
        <v>0.75211805555555555</v>
      </c>
      <c r="I326" s="43">
        <f>H326-G326</f>
        <v>0.31403935185185183</v>
      </c>
      <c r="J326" s="43">
        <v>0.3</v>
      </c>
      <c r="K326" s="2">
        <f>I326-J326</f>
        <v>1.4039351851851845E-2</v>
      </c>
      <c r="L326" s="3"/>
      <c r="M326" s="4">
        <f>F326/I326</f>
        <v>0.12704087273799433</v>
      </c>
      <c r="N326" s="4">
        <f>I326/J326</f>
        <v>1.0467978395061728</v>
      </c>
    </row>
    <row r="327" spans="1:14" x14ac:dyDescent="0.3">
      <c r="A327" s="29">
        <v>46020</v>
      </c>
      <c r="B327" s="8">
        <f>YEAR(A327)</f>
        <v>2025</v>
      </c>
      <c r="C327" s="27" t="str">
        <f>TEXT(A327,"MMMM")</f>
        <v>dezembro</v>
      </c>
      <c r="D327" s="30" t="s">
        <v>29</v>
      </c>
      <c r="E327" s="30" t="s">
        <v>14</v>
      </c>
      <c r="F327" s="31">
        <v>1.4074074074074074E-2</v>
      </c>
      <c r="G327" s="31">
        <v>0.33337962962962964</v>
      </c>
      <c r="H327" s="31">
        <v>0.62667824074074074</v>
      </c>
      <c r="I327" s="43">
        <f>H327-G327</f>
        <v>0.29329861111111111</v>
      </c>
      <c r="J327" s="43">
        <v>0.3</v>
      </c>
      <c r="K327" s="2"/>
      <c r="L327" s="3">
        <f>J327-I327</f>
        <v>6.7013888888888817E-3</v>
      </c>
      <c r="M327" s="4">
        <f>F327/I327</f>
        <v>4.7985478079002407E-2</v>
      </c>
      <c r="N327" s="4">
        <f>I327/J327</f>
        <v>0.97766203703703702</v>
      </c>
    </row>
    <row r="328" spans="1:14" x14ac:dyDescent="0.3">
      <c r="A328" s="29">
        <v>46021</v>
      </c>
      <c r="B328" s="8">
        <f>YEAR(A328)</f>
        <v>2025</v>
      </c>
      <c r="C328" s="27" t="str">
        <f>TEXT(A328,"MMMM")</f>
        <v>dezembro</v>
      </c>
      <c r="D328" s="30" t="s">
        <v>16</v>
      </c>
      <c r="E328" s="30" t="s">
        <v>34</v>
      </c>
      <c r="F328" s="31">
        <v>4.7662037037037037E-2</v>
      </c>
      <c r="G328" s="31">
        <v>0.33362268518518517</v>
      </c>
      <c r="H328" s="31">
        <v>0.63356481481481486</v>
      </c>
      <c r="I328" s="43">
        <f>H328-G328</f>
        <v>0.29994212962962968</v>
      </c>
      <c r="J328" s="43">
        <v>0.3</v>
      </c>
      <c r="K328" s="2"/>
      <c r="L328" s="3">
        <f>J328-I328</f>
        <v>5.7870370370305402E-5</v>
      </c>
      <c r="M328" s="4">
        <f>F328/I328</f>
        <v>0.15890410958904108</v>
      </c>
      <c r="N328" s="4">
        <f>I328/J328</f>
        <v>0.99980709876543228</v>
      </c>
    </row>
    <row r="329" spans="1:14" x14ac:dyDescent="0.3">
      <c r="A329" s="29">
        <v>46021</v>
      </c>
      <c r="B329" s="8">
        <f>YEAR(A329)</f>
        <v>2025</v>
      </c>
      <c r="C329" s="27" t="str">
        <f>TEXT(A329,"MMMM")</f>
        <v>dezembro</v>
      </c>
      <c r="D329" s="30" t="s">
        <v>18</v>
      </c>
      <c r="E329" s="30" t="s">
        <v>14</v>
      </c>
      <c r="F329" s="31">
        <v>1.4317129629629629E-2</v>
      </c>
      <c r="G329" s="31">
        <v>0.33813657407407405</v>
      </c>
      <c r="H329" s="31">
        <v>0.6366087962962963</v>
      </c>
      <c r="I329" s="43">
        <f>H329-G329</f>
        <v>0.29847222222222225</v>
      </c>
      <c r="J329" s="43">
        <v>0.3</v>
      </c>
      <c r="K329" s="2"/>
      <c r="L329" s="3">
        <f>J329-I329</f>
        <v>1.527777777777739E-3</v>
      </c>
      <c r="M329" s="4">
        <f>F329/I329</f>
        <v>4.7968047153714902E-2</v>
      </c>
      <c r="N329" s="4">
        <f>I329/J329</f>
        <v>0.99490740740740757</v>
      </c>
    </row>
    <row r="330" spans="1:14" x14ac:dyDescent="0.3">
      <c r="A330" s="29">
        <v>46021</v>
      </c>
      <c r="B330" s="8">
        <f>YEAR(A330)</f>
        <v>2025</v>
      </c>
      <c r="C330" s="27" t="str">
        <f>TEXT(A330,"MMMM")</f>
        <v>dezembro</v>
      </c>
      <c r="D330" s="30" t="s">
        <v>19</v>
      </c>
      <c r="E330" s="30" t="s">
        <v>17</v>
      </c>
      <c r="F330" s="31">
        <v>5.3576388888888889E-2</v>
      </c>
      <c r="G330" s="31">
        <v>0.33890046296296295</v>
      </c>
      <c r="H330" s="31">
        <v>0.66714120370370367</v>
      </c>
      <c r="I330" s="43">
        <f>H330-G330</f>
        <v>0.32824074074074072</v>
      </c>
      <c r="J330" s="43">
        <v>0.3</v>
      </c>
      <c r="K330" s="2">
        <f>I330-J330</f>
        <v>2.8240740740740733E-2</v>
      </c>
      <c r="L330" s="3"/>
      <c r="M330" s="4">
        <f>F330/I330</f>
        <v>0.1632228490832158</v>
      </c>
      <c r="N330" s="4">
        <f>I330/J330</f>
        <v>1.0941358024691359</v>
      </c>
    </row>
    <row r="331" spans="1:14" x14ac:dyDescent="0.3">
      <c r="A331" s="29">
        <v>46021</v>
      </c>
      <c r="B331" s="8">
        <f>YEAR(A331)</f>
        <v>2025</v>
      </c>
      <c r="C331" s="27" t="str">
        <f>TEXT(A331,"MMMM")</f>
        <v>dezembro</v>
      </c>
      <c r="D331" s="30" t="s">
        <v>69</v>
      </c>
      <c r="E331" s="30" t="s">
        <v>17</v>
      </c>
      <c r="F331" s="31">
        <v>4.3541666666666666E-2</v>
      </c>
      <c r="G331" s="31">
        <v>0.33447916666666666</v>
      </c>
      <c r="H331" s="31">
        <v>0.65465277777777775</v>
      </c>
      <c r="I331" s="43">
        <f>H331-G331</f>
        <v>0.32017361111111109</v>
      </c>
      <c r="J331" s="43">
        <v>0.3</v>
      </c>
      <c r="K331" s="2">
        <f>I331-J331</f>
        <v>2.0173611111111101E-2</v>
      </c>
      <c r="L331" s="3"/>
      <c r="M331" s="4">
        <f>F331/I331</f>
        <v>0.1359939269059755</v>
      </c>
      <c r="N331" s="4">
        <f>I331/J331</f>
        <v>1.0672453703703704</v>
      </c>
    </row>
    <row r="332" spans="1:14" x14ac:dyDescent="0.3">
      <c r="A332" s="29">
        <v>46021</v>
      </c>
      <c r="B332" s="8">
        <f>YEAR(A332)</f>
        <v>2025</v>
      </c>
      <c r="C332" s="27" t="str">
        <f>TEXT(A332,"MMMM")</f>
        <v>dezembro</v>
      </c>
      <c r="D332" s="30" t="s">
        <v>22</v>
      </c>
      <c r="E332" s="30" t="s">
        <v>21</v>
      </c>
      <c r="F332" s="31">
        <v>4.2083333333333334E-2</v>
      </c>
      <c r="G332" s="31">
        <v>0.37283564814814812</v>
      </c>
      <c r="H332" s="31">
        <v>0.75141203703703707</v>
      </c>
      <c r="I332" s="43">
        <f>H332-G332</f>
        <v>0.37857638888888895</v>
      </c>
      <c r="J332" s="43">
        <v>0.3</v>
      </c>
      <c r="K332" s="2">
        <f>I332-J332</f>
        <v>7.8576388888888959E-2</v>
      </c>
      <c r="L332" s="3"/>
      <c r="M332" s="4">
        <f>F332/I332</f>
        <v>0.11116206548656331</v>
      </c>
      <c r="N332" s="4">
        <f>I332/J332</f>
        <v>1.2619212962962965</v>
      </c>
    </row>
    <row r="333" spans="1:14" x14ac:dyDescent="0.3">
      <c r="A333" s="29">
        <v>46021</v>
      </c>
      <c r="B333" s="8">
        <f>YEAR(A333)</f>
        <v>2025</v>
      </c>
      <c r="C333" s="27" t="str">
        <f>TEXT(A333,"MMMM")</f>
        <v>dezembro</v>
      </c>
      <c r="D333" s="30" t="s">
        <v>33</v>
      </c>
      <c r="E333" s="30" t="s">
        <v>34</v>
      </c>
      <c r="F333" s="31">
        <v>3.8344907407407404E-2</v>
      </c>
      <c r="G333" s="31">
        <v>0.33372685185185186</v>
      </c>
      <c r="H333" s="31">
        <v>0.66712962962962963</v>
      </c>
      <c r="I333" s="43">
        <f>H333-G333</f>
        <v>0.33340277777777777</v>
      </c>
      <c r="J333" s="43">
        <v>0.3</v>
      </c>
      <c r="K333" s="2">
        <f>I333-J333</f>
        <v>3.3402777777777781E-2</v>
      </c>
      <c r="L333" s="3"/>
      <c r="M333" s="4">
        <f>F333/I333</f>
        <v>0.11501076164687911</v>
      </c>
      <c r="N333" s="4">
        <f>I333/J333</f>
        <v>1.1113425925925926</v>
      </c>
    </row>
    <row r="334" spans="1:14" x14ac:dyDescent="0.3">
      <c r="A334" s="29">
        <v>46021</v>
      </c>
      <c r="B334" s="8">
        <f>YEAR(A334)</f>
        <v>2025</v>
      </c>
      <c r="C334" s="27" t="str">
        <f>TEXT(A334,"MMMM")</f>
        <v>dezembro</v>
      </c>
      <c r="D334" s="30" t="s">
        <v>24</v>
      </c>
      <c r="E334" s="30" t="s">
        <v>14</v>
      </c>
      <c r="F334" s="31">
        <v>2.8807870370370369E-2</v>
      </c>
      <c r="G334" s="31">
        <v>0.45672453703703703</v>
      </c>
      <c r="H334" s="31">
        <v>0.75116898148148148</v>
      </c>
      <c r="I334" s="43">
        <f>H334-G334</f>
        <v>0.29444444444444445</v>
      </c>
      <c r="J334" s="43">
        <v>0.3</v>
      </c>
      <c r="K334" s="2"/>
      <c r="L334" s="3">
        <f>J334-I334</f>
        <v>5.5555555555555358E-3</v>
      </c>
      <c r="M334" s="4">
        <f>F334/I334</f>
        <v>9.7838050314465408E-2</v>
      </c>
      <c r="N334" s="4">
        <f>I334/J334</f>
        <v>0.98148148148148151</v>
      </c>
    </row>
    <row r="335" spans="1:14" x14ac:dyDescent="0.3">
      <c r="A335" s="29">
        <v>46021</v>
      </c>
      <c r="B335" s="8">
        <f>YEAR(A335)</f>
        <v>2025</v>
      </c>
      <c r="C335" s="27" t="str">
        <f>TEXT(A335,"MMMM")</f>
        <v>dezembro</v>
      </c>
      <c r="D335" s="30" t="s">
        <v>25</v>
      </c>
      <c r="E335" s="30" t="s">
        <v>21</v>
      </c>
      <c r="F335" s="31">
        <v>3.9444444444444442E-2</v>
      </c>
      <c r="G335" s="31">
        <v>0.33333333333333331</v>
      </c>
      <c r="H335" s="31">
        <v>0.63423611111111111</v>
      </c>
      <c r="I335" s="43">
        <f>H335-G335</f>
        <v>0.3009027777777778</v>
      </c>
      <c r="J335" s="43">
        <v>0.3</v>
      </c>
      <c r="K335" s="2">
        <f>I335-J335</f>
        <v>9.0277777777780788E-4</v>
      </c>
      <c r="L335" s="3"/>
      <c r="M335" s="4">
        <f>F335/I335</f>
        <v>0.1310870066928225</v>
      </c>
      <c r="N335" s="4">
        <f>I335/J335</f>
        <v>1.0030092592592594</v>
      </c>
    </row>
    <row r="336" spans="1:14" x14ac:dyDescent="0.3">
      <c r="A336" s="29">
        <v>46021</v>
      </c>
      <c r="B336" s="8">
        <f>YEAR(A336)</f>
        <v>2025</v>
      </c>
      <c r="C336" s="27" t="str">
        <f>TEXT(A336,"MMMM")</f>
        <v>dezembro</v>
      </c>
      <c r="D336" s="30" t="s">
        <v>26</v>
      </c>
      <c r="E336" s="30" t="s">
        <v>15</v>
      </c>
      <c r="F336" s="31">
        <v>4.1238425925925928E-2</v>
      </c>
      <c r="G336" s="31">
        <v>0.33394675925925926</v>
      </c>
      <c r="H336" s="31">
        <v>0.67795138888888884</v>
      </c>
      <c r="I336" s="43">
        <f>H336-G336</f>
        <v>0.34400462962962958</v>
      </c>
      <c r="J336" s="43">
        <v>0.3</v>
      </c>
      <c r="K336" s="2">
        <f>I336-J336</f>
        <v>4.4004629629629588E-2</v>
      </c>
      <c r="L336" s="3"/>
      <c r="M336" s="4">
        <f>F336/I336</f>
        <v>0.11987753179463026</v>
      </c>
      <c r="N336" s="4">
        <f>I336/J336</f>
        <v>1.146682098765432</v>
      </c>
    </row>
    <row r="337" spans="1:14" x14ac:dyDescent="0.3">
      <c r="A337" s="29">
        <v>46021</v>
      </c>
      <c r="B337" s="8">
        <f>YEAR(A337)</f>
        <v>2025</v>
      </c>
      <c r="C337" s="27" t="str">
        <f>TEXT(A337,"MMMM")</f>
        <v>dezembro</v>
      </c>
      <c r="D337" s="30" t="s">
        <v>27</v>
      </c>
      <c r="E337" s="30" t="s">
        <v>17</v>
      </c>
      <c r="F337" s="31">
        <v>4.1041666666666664E-2</v>
      </c>
      <c r="G337" s="31">
        <v>0.33451388888888889</v>
      </c>
      <c r="H337" s="31">
        <v>0.66768518518518516</v>
      </c>
      <c r="I337" s="43">
        <f>H337-G337</f>
        <v>0.33317129629629627</v>
      </c>
      <c r="J337" s="43">
        <v>0.3</v>
      </c>
      <c r="K337" s="2">
        <f>I337-J337</f>
        <v>3.3171296296296282E-2</v>
      </c>
      <c r="L337" s="3"/>
      <c r="M337" s="4">
        <f>F337/I337</f>
        <v>0.12318488153963733</v>
      </c>
      <c r="N337" s="4">
        <f>I337/J337</f>
        <v>1.1105709876543211</v>
      </c>
    </row>
    <row r="338" spans="1:14" x14ac:dyDescent="0.3">
      <c r="A338" s="29">
        <v>46021</v>
      </c>
      <c r="B338" s="8">
        <f>YEAR(A338)</f>
        <v>2025</v>
      </c>
      <c r="C338" s="27" t="str">
        <f>TEXT(A338,"MMMM")</f>
        <v>dezembro</v>
      </c>
      <c r="D338" s="30" t="s">
        <v>68</v>
      </c>
      <c r="E338" s="30" t="s">
        <v>34</v>
      </c>
      <c r="F338" s="31">
        <v>4.2777777777777776E-2</v>
      </c>
      <c r="G338" s="31">
        <v>0.42951388888888886</v>
      </c>
      <c r="H338" s="31">
        <v>0.75025462962962963</v>
      </c>
      <c r="I338" s="43">
        <f>H338-G338</f>
        <v>0.32074074074074077</v>
      </c>
      <c r="J338" s="43">
        <v>0.3</v>
      </c>
      <c r="K338" s="2">
        <f>I338-J338</f>
        <v>2.0740740740740782E-2</v>
      </c>
      <c r="L338" s="3"/>
      <c r="M338" s="4">
        <f>F338/I338</f>
        <v>0.13337182448036949</v>
      </c>
      <c r="N338" s="4">
        <f>I338/J338</f>
        <v>1.069135802469136</v>
      </c>
    </row>
    <row r="339" spans="1:14" x14ac:dyDescent="0.3">
      <c r="A339" s="29">
        <v>46021</v>
      </c>
      <c r="B339" s="8">
        <f>YEAR(A339)</f>
        <v>2025</v>
      </c>
      <c r="C339" s="27" t="str">
        <f>TEXT(A339,"MMMM")</f>
        <v>dezembro</v>
      </c>
      <c r="D339" s="30" t="s">
        <v>32</v>
      </c>
      <c r="E339" s="30" t="s">
        <v>34</v>
      </c>
      <c r="F339" s="31">
        <v>4.9675925925925929E-2</v>
      </c>
      <c r="G339" s="31">
        <v>0.4049652777777778</v>
      </c>
      <c r="H339" s="31">
        <v>0.75032407407407409</v>
      </c>
      <c r="I339" s="43">
        <f>H339-G339</f>
        <v>0.34535879629629629</v>
      </c>
      <c r="J339" s="43">
        <v>0.3</v>
      </c>
      <c r="K339" s="2">
        <f>I339-J339</f>
        <v>4.53587962962963E-2</v>
      </c>
      <c r="L339" s="3"/>
      <c r="M339" s="4">
        <f>F339/I339</f>
        <v>0.14383860048929256</v>
      </c>
      <c r="N339" s="4">
        <f>I339/J339</f>
        <v>1.151195987654321</v>
      </c>
    </row>
    <row r="340" spans="1:14" x14ac:dyDescent="0.3">
      <c r="A340" s="29">
        <v>46021</v>
      </c>
      <c r="B340" s="8">
        <f>YEAR(A340)</f>
        <v>2025</v>
      </c>
      <c r="C340" s="27" t="str">
        <f>TEXT(A340,"MMMM")</f>
        <v>dezembro</v>
      </c>
      <c r="D340" s="30" t="s">
        <v>30</v>
      </c>
      <c r="E340" s="30" t="s">
        <v>34</v>
      </c>
      <c r="F340" s="31">
        <v>5.2685185185185182E-2</v>
      </c>
      <c r="G340" s="31">
        <v>0.33565972222222223</v>
      </c>
      <c r="H340" s="31">
        <v>0.63472222222222219</v>
      </c>
      <c r="I340" s="43">
        <f>H340-G340</f>
        <v>0.29906249999999995</v>
      </c>
      <c r="J340" s="43">
        <v>0.3</v>
      </c>
      <c r="K340" s="2"/>
      <c r="L340" s="3">
        <f>J340-I340</f>
        <v>9.3750000000003553E-4</v>
      </c>
      <c r="M340" s="4">
        <f>F340/I340</f>
        <v>0.17616780835171642</v>
      </c>
      <c r="N340" s="4">
        <f>I340/J340</f>
        <v>0.99687499999999984</v>
      </c>
    </row>
    <row r="341" spans="1:14" x14ac:dyDescent="0.3">
      <c r="A341" s="29">
        <v>46021</v>
      </c>
      <c r="B341" s="8">
        <f>YEAR(A341)</f>
        <v>2025</v>
      </c>
      <c r="C341" s="27" t="str">
        <f>TEXT(A341,"MMMM")</f>
        <v>dezembro</v>
      </c>
      <c r="D341" s="30" t="s">
        <v>28</v>
      </c>
      <c r="E341" s="30" t="s">
        <v>14</v>
      </c>
      <c r="F341" s="31">
        <v>4.2442129629629628E-2</v>
      </c>
      <c r="G341" s="31">
        <v>0.45706018518518521</v>
      </c>
      <c r="H341" s="31">
        <v>0.75131944444444443</v>
      </c>
      <c r="I341" s="43">
        <f>H341-G341</f>
        <v>0.29425925925925922</v>
      </c>
      <c r="J341" s="43">
        <v>0.3</v>
      </c>
      <c r="K341" s="2"/>
      <c r="L341" s="3">
        <f>J341-I341</f>
        <v>5.7407407407407685E-3</v>
      </c>
      <c r="M341" s="4">
        <f>F341/I341</f>
        <v>0.14423379483952173</v>
      </c>
      <c r="N341" s="4">
        <f>I341/J341</f>
        <v>0.98086419753086407</v>
      </c>
    </row>
    <row r="342" spans="1:14" x14ac:dyDescent="0.3">
      <c r="A342" s="29">
        <v>46021</v>
      </c>
      <c r="B342" s="8">
        <f>YEAR(A342)</f>
        <v>2025</v>
      </c>
      <c r="C342" s="27" t="str">
        <f>TEXT(A342,"MMMM")</f>
        <v>dezembro</v>
      </c>
      <c r="D342" s="30" t="s">
        <v>29</v>
      </c>
      <c r="E342" s="30" t="s">
        <v>14</v>
      </c>
      <c r="F342" s="31">
        <v>1.4467592592592593E-2</v>
      </c>
      <c r="G342" s="31">
        <v>0.3338888888888889</v>
      </c>
      <c r="H342" s="31">
        <v>0.64482638888888888</v>
      </c>
      <c r="I342" s="43">
        <f>H342-G342</f>
        <v>0.31093749999999998</v>
      </c>
      <c r="J342" s="43">
        <v>0.3</v>
      </c>
      <c r="K342" s="2">
        <f>I342-J342</f>
        <v>1.0937499999999989E-2</v>
      </c>
      <c r="L342" s="3"/>
      <c r="M342" s="4">
        <f>F342/I342</f>
        <v>4.6528941001302816E-2</v>
      </c>
      <c r="N342" s="4">
        <f>I342/J342</f>
        <v>1.0364583333333333</v>
      </c>
    </row>
    <row r="343" spans="1:14" x14ac:dyDescent="0.3">
      <c r="A343" s="29">
        <v>46022</v>
      </c>
      <c r="B343" s="8">
        <f>YEAR(A343)</f>
        <v>2025</v>
      </c>
      <c r="C343" s="27" t="str">
        <f>TEXT(A343,"MMMM")</f>
        <v>dezembro</v>
      </c>
      <c r="D343" s="30" t="s">
        <v>16</v>
      </c>
      <c r="E343" s="30" t="s">
        <v>34</v>
      </c>
      <c r="F343" s="31">
        <v>2.7962962962962964E-2</v>
      </c>
      <c r="G343" s="31">
        <v>0.33384259259259258</v>
      </c>
      <c r="H343" s="31">
        <v>0.6333333333333333</v>
      </c>
      <c r="I343" s="43">
        <f>H343-G343</f>
        <v>0.29949074074074072</v>
      </c>
      <c r="J343" s="43">
        <v>0.3</v>
      </c>
      <c r="K343" s="2"/>
      <c r="L343" s="3">
        <f>J343-I343</f>
        <v>5.0925925925926485E-4</v>
      </c>
      <c r="M343" s="4">
        <f>F343/I343</f>
        <v>9.3368372236821776E-2</v>
      </c>
      <c r="N343" s="4">
        <f>I343/J343</f>
        <v>0.99830246913580245</v>
      </c>
    </row>
    <row r="344" spans="1:14" x14ac:dyDescent="0.3">
      <c r="A344" s="29">
        <v>46022</v>
      </c>
      <c r="B344" s="8">
        <f>YEAR(A344)</f>
        <v>2025</v>
      </c>
      <c r="C344" s="27" t="str">
        <f>TEXT(A344,"MMMM")</f>
        <v>dezembro</v>
      </c>
      <c r="D344" s="30" t="s">
        <v>18</v>
      </c>
      <c r="E344" s="30" t="s">
        <v>14</v>
      </c>
      <c r="F344" s="31">
        <v>0</v>
      </c>
      <c r="G344" s="31">
        <v>0.33680555555555558</v>
      </c>
      <c r="H344" s="31">
        <v>0.6333333333333333</v>
      </c>
      <c r="I344" s="43">
        <f>H344-G344</f>
        <v>0.29652777777777772</v>
      </c>
      <c r="J344" s="43">
        <v>0.3</v>
      </c>
      <c r="K344" s="2"/>
      <c r="L344" s="3">
        <f>J344-I344</f>
        <v>3.4722222222222654E-3</v>
      </c>
      <c r="M344" s="4">
        <f>F344/I344</f>
        <v>0</v>
      </c>
      <c r="N344" s="4">
        <f>I344/J344</f>
        <v>0.98842592592592582</v>
      </c>
    </row>
    <row r="345" spans="1:14" x14ac:dyDescent="0.3">
      <c r="A345" s="29">
        <v>46022</v>
      </c>
      <c r="B345" s="8">
        <f>YEAR(A345)</f>
        <v>2025</v>
      </c>
      <c r="C345" s="27" t="str">
        <f>TEXT(A345,"MMMM")</f>
        <v>dezembro</v>
      </c>
      <c r="D345" s="30" t="s">
        <v>19</v>
      </c>
      <c r="E345" s="30" t="s">
        <v>17</v>
      </c>
      <c r="F345" s="31">
        <v>1.9942129629629629E-2</v>
      </c>
      <c r="G345" s="31">
        <v>0.34412037037037035</v>
      </c>
      <c r="H345" s="31">
        <v>0.6333333333333333</v>
      </c>
      <c r="I345" s="43">
        <f>H345-G345</f>
        <v>0.28921296296296295</v>
      </c>
      <c r="J345" s="43">
        <v>0.3</v>
      </c>
      <c r="K345" s="2"/>
      <c r="L345" s="3">
        <f>J345-I345</f>
        <v>1.0787037037037039E-2</v>
      </c>
      <c r="M345" s="4">
        <f>F345/I345</f>
        <v>6.8953097486793666E-2</v>
      </c>
      <c r="N345" s="4">
        <f>I345/J345</f>
        <v>0.96404320987654324</v>
      </c>
    </row>
    <row r="346" spans="1:14" x14ac:dyDescent="0.3">
      <c r="A346" s="29">
        <v>46022</v>
      </c>
      <c r="B346" s="8">
        <f>YEAR(A346)</f>
        <v>2025</v>
      </c>
      <c r="C346" s="27" t="str">
        <f>TEXT(A346,"MMMM")</f>
        <v>dezembro</v>
      </c>
      <c r="D346" s="30" t="s">
        <v>69</v>
      </c>
      <c r="E346" s="30" t="s">
        <v>17</v>
      </c>
      <c r="F346" s="31">
        <v>2.4189814814814813E-2</v>
      </c>
      <c r="G346" s="31">
        <v>0.33403935185185185</v>
      </c>
      <c r="H346" s="31">
        <v>0.6333333333333333</v>
      </c>
      <c r="I346" s="43">
        <f>H346-G346</f>
        <v>0.29929398148148145</v>
      </c>
      <c r="J346" s="43">
        <v>0.3</v>
      </c>
      <c r="K346" s="2"/>
      <c r="L346" s="3">
        <f>J346-I346</f>
        <v>7.0601851851853636E-4</v>
      </c>
      <c r="M346" s="4">
        <f>F346/I346</f>
        <v>8.0822924320352679E-2</v>
      </c>
      <c r="N346" s="4">
        <f>I346/J346</f>
        <v>0.99764660493827151</v>
      </c>
    </row>
    <row r="347" spans="1:14" x14ac:dyDescent="0.3">
      <c r="A347" s="29">
        <v>46022</v>
      </c>
      <c r="B347" s="8">
        <f>YEAR(A347)</f>
        <v>2025</v>
      </c>
      <c r="C347" s="27" t="str">
        <f>TEXT(A347,"MMMM")</f>
        <v>dezembro</v>
      </c>
      <c r="D347" s="30" t="s">
        <v>22</v>
      </c>
      <c r="E347" s="30" t="s">
        <v>21</v>
      </c>
      <c r="F347" s="31">
        <v>1.1180555555555555E-2</v>
      </c>
      <c r="G347" s="31">
        <v>0.34277777777777779</v>
      </c>
      <c r="H347" s="31">
        <v>0.6333333333333333</v>
      </c>
      <c r="I347" s="43">
        <f>H347-G347</f>
        <v>0.29055555555555551</v>
      </c>
      <c r="J347" s="43">
        <v>0.3</v>
      </c>
      <c r="K347" s="2"/>
      <c r="L347" s="3">
        <f>J347-I347</f>
        <v>9.4444444444444775E-3</v>
      </c>
      <c r="M347" s="4">
        <f>F347/I347</f>
        <v>3.8479923518164441E-2</v>
      </c>
      <c r="N347" s="4">
        <f>I347/J347</f>
        <v>0.96851851851851845</v>
      </c>
    </row>
    <row r="348" spans="1:14" x14ac:dyDescent="0.3">
      <c r="A348" s="29">
        <v>46022</v>
      </c>
      <c r="B348" s="8">
        <f>YEAR(A348)</f>
        <v>2025</v>
      </c>
      <c r="C348" s="27" t="str">
        <f>TEXT(A348,"MMMM")</f>
        <v>dezembro</v>
      </c>
      <c r="D348" s="30" t="s">
        <v>33</v>
      </c>
      <c r="E348" s="30" t="s">
        <v>34</v>
      </c>
      <c r="F348" s="31">
        <v>1.4178240740740741E-2</v>
      </c>
      <c r="G348" s="31">
        <v>0.33372685185185186</v>
      </c>
      <c r="H348" s="31">
        <v>0.6333333333333333</v>
      </c>
      <c r="I348" s="43">
        <f>H348-G348</f>
        <v>0.29960648148148145</v>
      </c>
      <c r="J348" s="43">
        <v>0.3</v>
      </c>
      <c r="K348" s="2"/>
      <c r="L348" s="3">
        <f>J348-I348</f>
        <v>3.9351851851854303E-4</v>
      </c>
      <c r="M348" s="4">
        <f>F348/I348</f>
        <v>4.7322877230935645E-2</v>
      </c>
      <c r="N348" s="4">
        <f>I348/J348</f>
        <v>0.99868827160493823</v>
      </c>
    </row>
    <row r="349" spans="1:14" x14ac:dyDescent="0.3">
      <c r="A349" s="29">
        <v>46022</v>
      </c>
      <c r="B349" s="8">
        <f>YEAR(A349)</f>
        <v>2025</v>
      </c>
      <c r="C349" s="27" t="str">
        <f>TEXT(A349,"MMMM")</f>
        <v>dezembro</v>
      </c>
      <c r="D349" s="30" t="s">
        <v>24</v>
      </c>
      <c r="E349" s="30" t="s">
        <v>14</v>
      </c>
      <c r="F349" s="31">
        <v>1.2951388888888889E-2</v>
      </c>
      <c r="G349" s="31">
        <v>0.34570601851851851</v>
      </c>
      <c r="H349" s="31">
        <v>0.6333333333333333</v>
      </c>
      <c r="I349" s="43">
        <f>H349-G349</f>
        <v>0.28762731481481479</v>
      </c>
      <c r="J349" s="43">
        <v>0.3</v>
      </c>
      <c r="K349" s="2"/>
      <c r="L349" s="3">
        <f>J349-I349</f>
        <v>1.2372685185185195E-2</v>
      </c>
      <c r="M349" s="4">
        <f>F349/I349</f>
        <v>4.5028369079715108E-2</v>
      </c>
      <c r="N349" s="4">
        <f>I349/J349</f>
        <v>0.95875771604938265</v>
      </c>
    </row>
    <row r="350" spans="1:14" x14ac:dyDescent="0.3">
      <c r="A350" s="29">
        <v>46022</v>
      </c>
      <c r="B350" s="8">
        <f>YEAR(A350)</f>
        <v>2025</v>
      </c>
      <c r="C350" s="27" t="str">
        <f>TEXT(A350,"MMMM")</f>
        <v>dezembro</v>
      </c>
      <c r="D350" s="30" t="s">
        <v>25</v>
      </c>
      <c r="E350" s="30" t="s">
        <v>21</v>
      </c>
      <c r="F350" s="31">
        <v>1.9131944444444444E-2</v>
      </c>
      <c r="G350" s="31">
        <v>0.3334375</v>
      </c>
      <c r="H350" s="31">
        <v>0.6333333333333333</v>
      </c>
      <c r="I350" s="43">
        <f>H350-G350</f>
        <v>0.29989583333333331</v>
      </c>
      <c r="J350" s="43">
        <v>0.3</v>
      </c>
      <c r="K350" s="2"/>
      <c r="L350" s="3">
        <f>J350-I350</f>
        <v>1.0416666666668295E-4</v>
      </c>
      <c r="M350" s="4">
        <f>F350/I350</f>
        <v>6.3795299293736257E-2</v>
      </c>
      <c r="N350" s="4">
        <f>I350/J350</f>
        <v>0.99965277777777772</v>
      </c>
    </row>
    <row r="351" spans="1:14" x14ac:dyDescent="0.3">
      <c r="A351" s="29">
        <v>46022</v>
      </c>
      <c r="B351" s="8">
        <f>YEAR(A351)</f>
        <v>2025</v>
      </c>
      <c r="C351" s="27" t="str">
        <f>TEXT(A351,"MMMM")</f>
        <v>dezembro</v>
      </c>
      <c r="D351" s="30" t="s">
        <v>26</v>
      </c>
      <c r="E351" s="30" t="s">
        <v>15</v>
      </c>
      <c r="F351" s="31">
        <v>2.2303240740740742E-2</v>
      </c>
      <c r="G351" s="31">
        <v>0.33481481481481479</v>
      </c>
      <c r="H351" s="31">
        <v>0.6333333333333333</v>
      </c>
      <c r="I351" s="43">
        <f>H351-G351</f>
        <v>0.29851851851851852</v>
      </c>
      <c r="J351" s="43">
        <v>0.3</v>
      </c>
      <c r="K351" s="2"/>
      <c r="L351" s="3">
        <f>J351-I351</f>
        <v>1.4814814814814725E-3</v>
      </c>
      <c r="M351" s="4">
        <f>F351/I351</f>
        <v>7.4713089330024823E-2</v>
      </c>
      <c r="N351" s="4">
        <f>I351/J351</f>
        <v>0.9950617283950618</v>
      </c>
    </row>
    <row r="352" spans="1:14" x14ac:dyDescent="0.3">
      <c r="A352" s="29">
        <v>46022</v>
      </c>
      <c r="B352" s="8">
        <f>YEAR(A352)</f>
        <v>2025</v>
      </c>
      <c r="C352" s="27" t="str">
        <f>TEXT(A352,"MMMM")</f>
        <v>dezembro</v>
      </c>
      <c r="D352" s="30" t="s">
        <v>27</v>
      </c>
      <c r="E352" s="30" t="s">
        <v>17</v>
      </c>
      <c r="F352" s="31">
        <v>2.4953703703703704E-2</v>
      </c>
      <c r="G352" s="31">
        <v>0.33383101851851854</v>
      </c>
      <c r="H352" s="31">
        <v>0.6333333333333333</v>
      </c>
      <c r="I352" s="43">
        <f>H352-G352</f>
        <v>0.29950231481481476</v>
      </c>
      <c r="J352" s="43">
        <v>0.3</v>
      </c>
      <c r="K352" s="2"/>
      <c r="L352" s="3">
        <f>J352-I352</f>
        <v>4.9768518518522598E-4</v>
      </c>
      <c r="M352" s="4">
        <f>F352/I352</f>
        <v>8.3317231518336768E-2</v>
      </c>
      <c r="N352" s="4">
        <f>I352/J352</f>
        <v>0.99834104938271595</v>
      </c>
    </row>
    <row r="353" spans="1:14" x14ac:dyDescent="0.3">
      <c r="A353" s="29">
        <v>46022</v>
      </c>
      <c r="B353" s="8">
        <f>YEAR(A353)</f>
        <v>2025</v>
      </c>
      <c r="C353" s="27" t="str">
        <f>TEXT(A353,"MMMM")</f>
        <v>dezembro</v>
      </c>
      <c r="D353" s="30" t="s">
        <v>68</v>
      </c>
      <c r="E353" s="30" t="s">
        <v>34</v>
      </c>
      <c r="F353" s="31">
        <v>1.7233796296296296E-2</v>
      </c>
      <c r="G353" s="31">
        <v>0.34290509259259261</v>
      </c>
      <c r="H353" s="31">
        <v>0.6333333333333333</v>
      </c>
      <c r="I353" s="43">
        <f>H353-G353</f>
        <v>0.2904282407407407</v>
      </c>
      <c r="J353" s="43">
        <v>0.3</v>
      </c>
      <c r="K353" s="2"/>
      <c r="L353" s="3">
        <f>J353-I353</f>
        <v>9.5717592592592937E-3</v>
      </c>
      <c r="M353" s="4">
        <f>F353/I353</f>
        <v>5.9339257960387366E-2</v>
      </c>
      <c r="N353" s="4">
        <f>I353/J353</f>
        <v>0.96809413580246906</v>
      </c>
    </row>
    <row r="354" spans="1:14" x14ac:dyDescent="0.3">
      <c r="A354" s="29">
        <v>46022</v>
      </c>
      <c r="B354" s="8">
        <f>YEAR(A354)</f>
        <v>2025</v>
      </c>
      <c r="C354" s="27" t="str">
        <f>TEXT(A354,"MMMM")</f>
        <v>dezembro</v>
      </c>
      <c r="D354" s="30" t="s">
        <v>32</v>
      </c>
      <c r="E354" s="30" t="s">
        <v>34</v>
      </c>
      <c r="F354" s="31">
        <v>1.4907407407407407E-2</v>
      </c>
      <c r="G354" s="31">
        <v>0.33594907407407409</v>
      </c>
      <c r="H354" s="31">
        <v>0.6333333333333333</v>
      </c>
      <c r="I354" s="43">
        <f>H354-G354</f>
        <v>0.29738425925925921</v>
      </c>
      <c r="J354" s="43">
        <v>0.3</v>
      </c>
      <c r="K354" s="2"/>
      <c r="L354" s="3">
        <f>J354-I354</f>
        <v>2.6157407407407796E-3</v>
      </c>
      <c r="M354" s="4">
        <f>F354/I354</f>
        <v>5.0128434654004836E-2</v>
      </c>
      <c r="N354" s="4">
        <f>I354/J354</f>
        <v>0.9912808641975307</v>
      </c>
    </row>
    <row r="355" spans="1:14" x14ac:dyDescent="0.3">
      <c r="A355" s="29">
        <v>46022</v>
      </c>
      <c r="B355" s="8">
        <f>YEAR(A355)</f>
        <v>2025</v>
      </c>
      <c r="C355" s="27" t="str">
        <f>TEXT(A355,"MMMM")</f>
        <v>dezembro</v>
      </c>
      <c r="D355" s="30" t="s">
        <v>30</v>
      </c>
      <c r="E355" s="30" t="s">
        <v>34</v>
      </c>
      <c r="F355" s="31">
        <v>2.675925925925926E-2</v>
      </c>
      <c r="G355" s="31">
        <v>0.33545138888888887</v>
      </c>
      <c r="H355" s="31">
        <v>0.6333333333333333</v>
      </c>
      <c r="I355" s="43">
        <f>H355-G355</f>
        <v>0.29788194444444444</v>
      </c>
      <c r="J355" s="43">
        <v>0.3</v>
      </c>
      <c r="K355" s="2"/>
      <c r="L355" s="3">
        <f>J355-I355</f>
        <v>2.1180555555555536E-3</v>
      </c>
      <c r="M355" s="4">
        <f>F355/I355</f>
        <v>8.9831759723355484E-2</v>
      </c>
      <c r="N355" s="4">
        <f>I355/J355</f>
        <v>0.99293981481481486</v>
      </c>
    </row>
    <row r="356" spans="1:14" x14ac:dyDescent="0.3">
      <c r="A356" s="29">
        <v>46022</v>
      </c>
      <c r="B356" s="8">
        <f>YEAR(A356)</f>
        <v>2025</v>
      </c>
      <c r="C356" s="27" t="str">
        <f>TEXT(A356,"MMMM")</f>
        <v>dezembro</v>
      </c>
      <c r="D356" s="30" t="s">
        <v>28</v>
      </c>
      <c r="E356" s="30" t="s">
        <v>14</v>
      </c>
      <c r="F356" s="31">
        <v>2.2951388888888889E-2</v>
      </c>
      <c r="G356" s="31">
        <v>0.33546296296296296</v>
      </c>
      <c r="H356" s="31">
        <v>0.6333333333333333</v>
      </c>
      <c r="I356" s="43">
        <f>H356-G356</f>
        <v>0.29787037037037034</v>
      </c>
      <c r="J356" s="43">
        <v>0.3</v>
      </c>
      <c r="K356" s="2"/>
      <c r="L356" s="3">
        <f>J356-I356</f>
        <v>2.129629629629648E-3</v>
      </c>
      <c r="M356" s="4">
        <f>F356/I356</f>
        <v>7.705160087037613E-2</v>
      </c>
      <c r="N356" s="4">
        <f>I356/J356</f>
        <v>0.99290123456790114</v>
      </c>
    </row>
    <row r="357" spans="1:14" x14ac:dyDescent="0.3">
      <c r="A357" s="29">
        <v>46022</v>
      </c>
      <c r="B357" s="8">
        <f>YEAR(A357)</f>
        <v>2025</v>
      </c>
      <c r="C357" s="27" t="str">
        <f>TEXT(A357,"MMMM")</f>
        <v>dezembro</v>
      </c>
      <c r="D357" s="30" t="s">
        <v>29</v>
      </c>
      <c r="E357" s="30" t="s">
        <v>14</v>
      </c>
      <c r="F357" s="31">
        <v>0</v>
      </c>
      <c r="G357" s="31">
        <v>0.33339120370370373</v>
      </c>
      <c r="H357" s="31">
        <v>0.6333333333333333</v>
      </c>
      <c r="I357" s="43">
        <f>H357-G357</f>
        <v>0.29994212962962957</v>
      </c>
      <c r="J357" s="43">
        <v>0.3</v>
      </c>
      <c r="K357" s="2"/>
      <c r="L357" s="3">
        <f>J357-I357</f>
        <v>5.7870370370416424E-5</v>
      </c>
      <c r="M357" s="4">
        <f>F357/I357</f>
        <v>0</v>
      </c>
      <c r="N357" s="4">
        <f>I357/J357</f>
        <v>0.99980709876543195</v>
      </c>
    </row>
    <row r="358" spans="1:14" x14ac:dyDescent="0.3">
      <c r="A358" s="29">
        <v>46027</v>
      </c>
      <c r="B358" s="8">
        <f>YEAR(A358)</f>
        <v>2026</v>
      </c>
      <c r="C358" s="27" t="str">
        <f>TEXT(A358,"MMMM")</f>
        <v>janeiro</v>
      </c>
      <c r="D358" s="30" t="s">
        <v>47</v>
      </c>
      <c r="E358" s="30" t="s">
        <v>21</v>
      </c>
      <c r="F358" s="31">
        <v>4.0590277777777781E-2</v>
      </c>
      <c r="G358" s="31">
        <v>0.53153935185185186</v>
      </c>
      <c r="H358" s="31">
        <v>0.75010416666666668</v>
      </c>
      <c r="I358" s="43">
        <f>H358-G358</f>
        <v>0.21856481481481482</v>
      </c>
      <c r="J358" s="43">
        <v>0.25</v>
      </c>
      <c r="K358" s="2"/>
      <c r="L358" s="3">
        <f>J358-I358</f>
        <v>3.1435185185185177E-2</v>
      </c>
      <c r="M358" s="4">
        <f>F358/I358</f>
        <v>0.18571277271764458</v>
      </c>
      <c r="N358" s="4">
        <f>I358/J358</f>
        <v>0.87425925925925929</v>
      </c>
    </row>
    <row r="359" spans="1:14" x14ac:dyDescent="0.3">
      <c r="A359" s="29">
        <v>46027</v>
      </c>
      <c r="B359" s="8">
        <f>YEAR(A359)</f>
        <v>2026</v>
      </c>
      <c r="C359" s="27" t="str">
        <f>TEXT(A359,"MMMM")</f>
        <v>janeiro</v>
      </c>
      <c r="D359" s="30" t="s">
        <v>18</v>
      </c>
      <c r="E359" s="30" t="s">
        <v>14</v>
      </c>
      <c r="F359" s="31">
        <v>1.8935185185185187E-2</v>
      </c>
      <c r="G359" s="31">
        <v>0.33937499999999998</v>
      </c>
      <c r="H359" s="31">
        <v>0.63700231481481484</v>
      </c>
      <c r="I359" s="43">
        <f>H359-G359</f>
        <v>0.29762731481481486</v>
      </c>
      <c r="J359" s="43">
        <v>0.3</v>
      </c>
      <c r="K359" s="2"/>
      <c r="L359" s="3">
        <f>J359-I359</f>
        <v>2.3726851851851305E-3</v>
      </c>
      <c r="M359" s="4">
        <f>F359/I359</f>
        <v>6.3620454987361463E-2</v>
      </c>
      <c r="N359" s="4">
        <f>I359/J359</f>
        <v>0.99209104938271619</v>
      </c>
    </row>
    <row r="360" spans="1:14" x14ac:dyDescent="0.3">
      <c r="A360" s="29">
        <v>46027</v>
      </c>
      <c r="B360" s="8">
        <f>YEAR(A360)</f>
        <v>2026</v>
      </c>
      <c r="C360" s="27" t="str">
        <f>TEXT(A360,"MMMM")</f>
        <v>janeiro</v>
      </c>
      <c r="D360" s="30" t="s">
        <v>19</v>
      </c>
      <c r="E360" s="30" t="s">
        <v>34</v>
      </c>
      <c r="F360" s="31">
        <v>5.693287037037037E-2</v>
      </c>
      <c r="G360" s="31">
        <v>0.3369328703703704</v>
      </c>
      <c r="H360" s="31">
        <v>0.66828703703703707</v>
      </c>
      <c r="I360" s="43">
        <f>H360-G360</f>
        <v>0.33135416666666667</v>
      </c>
      <c r="J360" s="43">
        <v>0.3</v>
      </c>
      <c r="K360" s="2">
        <f>I360-J360</f>
        <v>3.1354166666666683E-2</v>
      </c>
      <c r="L360" s="3"/>
      <c r="M360" s="4">
        <f>F360/I360</f>
        <v>0.17181878514792692</v>
      </c>
      <c r="N360" s="4">
        <f>I360/J360</f>
        <v>1.104513888888889</v>
      </c>
    </row>
    <row r="361" spans="1:14" x14ac:dyDescent="0.3">
      <c r="A361" s="29">
        <v>46027</v>
      </c>
      <c r="B361" s="8">
        <f>YEAR(A361)</f>
        <v>2026</v>
      </c>
      <c r="C361" s="27" t="str">
        <f>TEXT(A361,"MMMM")</f>
        <v>janeiro</v>
      </c>
      <c r="D361" s="30" t="s">
        <v>69</v>
      </c>
      <c r="E361" s="30" t="s">
        <v>34</v>
      </c>
      <c r="F361" s="31">
        <v>6.1469907407407411E-2</v>
      </c>
      <c r="G361" s="31">
        <v>0.33934027777777775</v>
      </c>
      <c r="H361" s="31">
        <v>0.65440972222222227</v>
      </c>
      <c r="I361" s="43">
        <f>H361-G361</f>
        <v>0.31506944444444451</v>
      </c>
      <c r="J361" s="43">
        <v>0.3</v>
      </c>
      <c r="K361" s="2">
        <f>I361-J361</f>
        <v>1.5069444444444524E-2</v>
      </c>
      <c r="L361" s="3"/>
      <c r="M361" s="4">
        <f>F361/I361</f>
        <v>0.19509955183307615</v>
      </c>
      <c r="N361" s="4">
        <f>I361/J361</f>
        <v>1.0502314814814817</v>
      </c>
    </row>
    <row r="362" spans="1:14" x14ac:dyDescent="0.3">
      <c r="A362" s="29">
        <v>46027</v>
      </c>
      <c r="B362" s="8">
        <f>YEAR(A362)</f>
        <v>2026</v>
      </c>
      <c r="C362" s="27" t="str">
        <f>TEXT(A362,"MMMM")</f>
        <v>janeiro</v>
      </c>
      <c r="D362" s="30" t="s">
        <v>33</v>
      </c>
      <c r="E362" s="30" t="s">
        <v>34</v>
      </c>
      <c r="F362" s="31">
        <v>3.3287037037037039E-2</v>
      </c>
      <c r="G362" s="31">
        <v>0.33372685185185186</v>
      </c>
      <c r="H362" s="31">
        <v>0.66680555555555554</v>
      </c>
      <c r="I362" s="43">
        <f>H362-G362</f>
        <v>0.33307870370370368</v>
      </c>
      <c r="J362" s="43">
        <v>0.3</v>
      </c>
      <c r="K362" s="2">
        <f>I362-J362</f>
        <v>3.3078703703703694E-2</v>
      </c>
      <c r="L362" s="3"/>
      <c r="M362" s="4">
        <f>F362/I362</f>
        <v>9.9937452220446185E-2</v>
      </c>
      <c r="N362" s="4">
        <f>I362/J362</f>
        <v>1.1102623456790124</v>
      </c>
    </row>
    <row r="363" spans="1:14" x14ac:dyDescent="0.3">
      <c r="A363" s="29">
        <v>46027</v>
      </c>
      <c r="B363" s="8">
        <f>YEAR(A363)</f>
        <v>2026</v>
      </c>
      <c r="C363" s="27" t="str">
        <f>TEXT(A363,"MMMM")</f>
        <v>janeiro</v>
      </c>
      <c r="D363" s="30" t="s">
        <v>24</v>
      </c>
      <c r="E363" s="30" t="s">
        <v>14</v>
      </c>
      <c r="F363" s="31">
        <v>2.7129629629629629E-2</v>
      </c>
      <c r="G363" s="31">
        <v>0.46232638888888888</v>
      </c>
      <c r="H363" s="31">
        <v>0.7512268518518519</v>
      </c>
      <c r="I363" s="43">
        <f>H363-G363</f>
        <v>0.28890046296296301</v>
      </c>
      <c r="J363" s="43">
        <v>0.3</v>
      </c>
      <c r="K363" s="2"/>
      <c r="L363" s="3">
        <f>J363-I363</f>
        <v>1.1099537037036977E-2</v>
      </c>
      <c r="M363" s="4">
        <f>F363/I363</f>
        <v>9.3906494130844093E-2</v>
      </c>
      <c r="N363" s="4">
        <f>I363/J363</f>
        <v>0.96300154320987674</v>
      </c>
    </row>
    <row r="364" spans="1:14" x14ac:dyDescent="0.3">
      <c r="A364" s="29">
        <v>46027</v>
      </c>
      <c r="B364" s="8">
        <f>YEAR(A364)</f>
        <v>2026</v>
      </c>
      <c r="C364" s="27" t="str">
        <f>TEXT(A364,"MMMM")</f>
        <v>janeiro</v>
      </c>
      <c r="D364" s="30" t="s">
        <v>25</v>
      </c>
      <c r="E364" s="30" t="s">
        <v>21</v>
      </c>
      <c r="F364" s="31">
        <v>3.7546296296296293E-2</v>
      </c>
      <c r="G364" s="31">
        <v>0.3334259259259259</v>
      </c>
      <c r="H364" s="31">
        <v>0.67638888888888893</v>
      </c>
      <c r="I364" s="43">
        <f>H364-G364</f>
        <v>0.34296296296296302</v>
      </c>
      <c r="J364" s="43">
        <v>0.3</v>
      </c>
      <c r="K364" s="2">
        <f>I364-J364</f>
        <v>4.2962962962963036E-2</v>
      </c>
      <c r="L364" s="3"/>
      <c r="M364" s="4">
        <f>F364/I364</f>
        <v>0.10947624190064792</v>
      </c>
      <c r="N364" s="4">
        <f>I364/J364</f>
        <v>1.1432098765432102</v>
      </c>
    </row>
    <row r="365" spans="1:14" x14ac:dyDescent="0.3">
      <c r="A365" s="29">
        <v>46027</v>
      </c>
      <c r="B365" s="8">
        <f>YEAR(A365)</f>
        <v>2026</v>
      </c>
      <c r="C365" s="27" t="str">
        <f>TEXT(A365,"MMMM")</f>
        <v>janeiro</v>
      </c>
      <c r="D365" s="30" t="s">
        <v>26</v>
      </c>
      <c r="E365" s="30" t="s">
        <v>15</v>
      </c>
      <c r="F365" s="31">
        <v>4.403935185185185E-2</v>
      </c>
      <c r="G365" s="31">
        <v>0.33391203703703703</v>
      </c>
      <c r="H365" s="31">
        <v>0.67630787037037032</v>
      </c>
      <c r="I365" s="43">
        <f>H365-G365</f>
        <v>0.34239583333333329</v>
      </c>
      <c r="J365" s="43">
        <v>0.3</v>
      </c>
      <c r="K365" s="2">
        <f>I365-J365</f>
        <v>4.2395833333333299E-2</v>
      </c>
      <c r="L365" s="3"/>
      <c r="M365" s="4">
        <f>F365/I365</f>
        <v>0.12862116756245143</v>
      </c>
      <c r="N365" s="4">
        <f>I365/J365</f>
        <v>1.1413194444444443</v>
      </c>
    </row>
    <row r="366" spans="1:14" x14ac:dyDescent="0.3">
      <c r="A366" s="29">
        <v>46027</v>
      </c>
      <c r="B366" s="8">
        <f>YEAR(A366)</f>
        <v>2026</v>
      </c>
      <c r="C366" s="27" t="str">
        <f>TEXT(A366,"MMMM")</f>
        <v>janeiro</v>
      </c>
      <c r="D366" s="30" t="s">
        <v>27</v>
      </c>
      <c r="E366" s="30" t="s">
        <v>34</v>
      </c>
      <c r="F366" s="31">
        <v>4.1331018518518517E-2</v>
      </c>
      <c r="G366" s="31">
        <v>0.33333333333333331</v>
      </c>
      <c r="H366" s="31">
        <v>0.70138888888888884</v>
      </c>
      <c r="I366" s="43">
        <f>H366-G366</f>
        <v>0.36805555555555552</v>
      </c>
      <c r="J366" s="43">
        <v>0.3</v>
      </c>
      <c r="K366" s="2">
        <f>I366-J366</f>
        <v>6.8055555555555536E-2</v>
      </c>
      <c r="L366" s="3"/>
      <c r="M366" s="4">
        <f>F366/I366</f>
        <v>0.11229559748427674</v>
      </c>
      <c r="N366" s="4">
        <f>I366/J366</f>
        <v>1.2268518518518519</v>
      </c>
    </row>
    <row r="367" spans="1:14" x14ac:dyDescent="0.3">
      <c r="A367" s="29">
        <v>46027</v>
      </c>
      <c r="B367" s="8">
        <f>YEAR(A367)</f>
        <v>2026</v>
      </c>
      <c r="C367" s="27" t="str">
        <f>TEXT(A367,"MMMM")</f>
        <v>janeiro</v>
      </c>
      <c r="D367" s="30" t="s">
        <v>68</v>
      </c>
      <c r="E367" s="30" t="s">
        <v>34</v>
      </c>
      <c r="F367" s="31">
        <v>4.3981481481481483E-2</v>
      </c>
      <c r="G367" s="31">
        <v>0.42912037037037037</v>
      </c>
      <c r="H367" s="31">
        <v>0.75018518518518518</v>
      </c>
      <c r="I367" s="43">
        <f>H367-G367</f>
        <v>0.3210648148148148</v>
      </c>
      <c r="J367" s="43">
        <v>0.3</v>
      </c>
      <c r="K367" s="2">
        <f>I367-J367</f>
        <v>2.1064814814814814E-2</v>
      </c>
      <c r="L367" s="3"/>
      <c r="M367" s="4">
        <f>F367/I367</f>
        <v>0.13698630136986303</v>
      </c>
      <c r="N367" s="4">
        <f>I367/J367</f>
        <v>1.070216049382716</v>
      </c>
    </row>
    <row r="368" spans="1:14" x14ac:dyDescent="0.3">
      <c r="A368" s="29">
        <v>46027</v>
      </c>
      <c r="B368" s="8">
        <f>YEAR(A368)</f>
        <v>2026</v>
      </c>
      <c r="C368" s="27" t="str">
        <f>TEXT(A368,"MMMM")</f>
        <v>janeiro</v>
      </c>
      <c r="D368" s="30" t="s">
        <v>30</v>
      </c>
      <c r="E368" s="30" t="s">
        <v>34</v>
      </c>
      <c r="F368" s="31">
        <v>6.0462962962962961E-2</v>
      </c>
      <c r="G368" s="31">
        <v>0.33628472222222222</v>
      </c>
      <c r="H368" s="31">
        <v>0.66314814814814815</v>
      </c>
      <c r="I368" s="43">
        <f>H368-G368</f>
        <v>0.32686342592592593</v>
      </c>
      <c r="J368" s="43">
        <v>0.3</v>
      </c>
      <c r="K368" s="2">
        <f>I368-J368</f>
        <v>2.6863425925925943E-2</v>
      </c>
      <c r="L368" s="3"/>
      <c r="M368" s="4">
        <f>F368/I368</f>
        <v>0.18497928543606812</v>
      </c>
      <c r="N368" s="4">
        <f>I368/J368</f>
        <v>1.0895447530864197</v>
      </c>
    </row>
    <row r="369" spans="1:14" x14ac:dyDescent="0.3">
      <c r="A369" s="29">
        <v>46027</v>
      </c>
      <c r="B369" s="8">
        <f>YEAR(A369)</f>
        <v>2026</v>
      </c>
      <c r="C369" s="27" t="str">
        <f>TEXT(A369,"MMMM")</f>
        <v>janeiro</v>
      </c>
      <c r="D369" s="30" t="s">
        <v>28</v>
      </c>
      <c r="E369" s="30" t="s">
        <v>14</v>
      </c>
      <c r="F369" s="31">
        <v>3.4756944444444444E-2</v>
      </c>
      <c r="G369" s="31">
        <v>0.45172453703703702</v>
      </c>
      <c r="H369" s="31">
        <v>0.75502314814814819</v>
      </c>
      <c r="I369" s="43">
        <f>H369-G369</f>
        <v>0.30329861111111117</v>
      </c>
      <c r="J369" s="43">
        <v>0.3</v>
      </c>
      <c r="K369" s="2">
        <f>I369-J369</f>
        <v>3.2986111111111827E-3</v>
      </c>
      <c r="L369" s="3"/>
      <c r="M369" s="4">
        <f>F369/I369</f>
        <v>0.11459645105895819</v>
      </c>
      <c r="N369" s="4">
        <f>I369/J369</f>
        <v>1.0109953703703707</v>
      </c>
    </row>
    <row r="370" spans="1:14" x14ac:dyDescent="0.3">
      <c r="A370" s="29">
        <v>46027</v>
      </c>
      <c r="B370" s="8">
        <f>YEAR(A370)</f>
        <v>2026</v>
      </c>
      <c r="C370" s="27" t="str">
        <f>TEXT(A370,"MMMM")</f>
        <v>janeiro</v>
      </c>
      <c r="D370" s="30" t="s">
        <v>29</v>
      </c>
      <c r="E370" s="30" t="s">
        <v>14</v>
      </c>
      <c r="F370" s="31">
        <v>1.4398148148148148E-2</v>
      </c>
      <c r="G370" s="31">
        <v>0.34230324074074076</v>
      </c>
      <c r="H370" s="31">
        <v>0.6333333333333333</v>
      </c>
      <c r="I370" s="43">
        <f>H370-G370</f>
        <v>0.29103009259259255</v>
      </c>
      <c r="J370" s="43">
        <v>0.3</v>
      </c>
      <c r="K370" s="2"/>
      <c r="L370" s="3">
        <f>J370-I370</f>
        <v>8.9699074074074403E-3</v>
      </c>
      <c r="M370" s="4">
        <f>F370/I370</f>
        <v>4.947305627361305E-2</v>
      </c>
      <c r="N370" s="4">
        <f>I370/J370</f>
        <v>0.97010030864197516</v>
      </c>
    </row>
    <row r="371" spans="1:14" x14ac:dyDescent="0.3">
      <c r="A371" s="29">
        <v>46028</v>
      </c>
      <c r="B371" s="8">
        <f>YEAR(A371)</f>
        <v>2026</v>
      </c>
      <c r="C371" s="27" t="str">
        <f>TEXT(A371,"MMMM")</f>
        <v>janeiro</v>
      </c>
      <c r="D371" s="30" t="s">
        <v>47</v>
      </c>
      <c r="E371" s="30" t="s">
        <v>21</v>
      </c>
      <c r="F371" s="31">
        <v>4.3912037037037034E-2</v>
      </c>
      <c r="G371" s="31">
        <v>0.5252430555555555</v>
      </c>
      <c r="H371" s="31">
        <v>0.75027777777777782</v>
      </c>
      <c r="I371" s="43">
        <f>H371-G371</f>
        <v>0.22503472222222232</v>
      </c>
      <c r="J371" s="43">
        <v>0.25</v>
      </c>
      <c r="K371" s="2"/>
      <c r="L371" s="3">
        <f>J371-I371</f>
        <v>2.4965277777777684E-2</v>
      </c>
      <c r="M371" s="4">
        <f>F371/I371</f>
        <v>0.19513449570539515</v>
      </c>
      <c r="N371" s="4">
        <f>I371/J371</f>
        <v>0.90013888888888927</v>
      </c>
    </row>
    <row r="372" spans="1:14" x14ac:dyDescent="0.3">
      <c r="A372" s="29">
        <v>46028</v>
      </c>
      <c r="B372" s="8">
        <f>YEAR(A372)</f>
        <v>2026</v>
      </c>
      <c r="C372" s="27" t="str">
        <f>TEXT(A372,"MMMM")</f>
        <v>janeiro</v>
      </c>
      <c r="D372" s="30" t="s">
        <v>18</v>
      </c>
      <c r="E372" s="30" t="s">
        <v>14</v>
      </c>
      <c r="F372" s="31">
        <v>1.4548611111111111E-2</v>
      </c>
      <c r="G372" s="31">
        <v>0.33652777777777776</v>
      </c>
      <c r="H372" s="31">
        <v>0.64774305555555556</v>
      </c>
      <c r="I372" s="43">
        <f>H372-G372</f>
        <v>0.3112152777777778</v>
      </c>
      <c r="J372" s="43">
        <v>0.3</v>
      </c>
      <c r="K372" s="2">
        <f>I372-J372</f>
        <v>1.121527777777781E-2</v>
      </c>
      <c r="L372" s="3"/>
      <c r="M372" s="4">
        <f>F372/I372</f>
        <v>4.6747740711815235E-2</v>
      </c>
      <c r="N372" s="4">
        <f>I372/J372</f>
        <v>1.0373842592592595</v>
      </c>
    </row>
    <row r="373" spans="1:14" x14ac:dyDescent="0.3">
      <c r="A373" s="29">
        <v>46028</v>
      </c>
      <c r="B373" s="8">
        <f>YEAR(A373)</f>
        <v>2026</v>
      </c>
      <c r="C373" s="27" t="str">
        <f>TEXT(A373,"MMMM")</f>
        <v>janeiro</v>
      </c>
      <c r="D373" s="30" t="s">
        <v>19</v>
      </c>
      <c r="E373" s="30" t="s">
        <v>34</v>
      </c>
      <c r="F373" s="31">
        <v>5.7337962962962966E-2</v>
      </c>
      <c r="G373" s="31">
        <v>0.33376157407407409</v>
      </c>
      <c r="H373" s="31">
        <v>0.63359953703703709</v>
      </c>
      <c r="I373" s="43">
        <f>H373-G373</f>
        <v>0.299837962962963</v>
      </c>
      <c r="J373" s="43">
        <v>0.3</v>
      </c>
      <c r="K373" s="2"/>
      <c r="L373" s="3">
        <f>J373-I373</f>
        <v>1.6203703703698835E-4</v>
      </c>
      <c r="M373" s="4">
        <f>F373/I373</f>
        <v>0.19122983092719831</v>
      </c>
      <c r="N373" s="4">
        <f>I373/J373</f>
        <v>0.99945987654321</v>
      </c>
    </row>
    <row r="374" spans="1:14" x14ac:dyDescent="0.3">
      <c r="A374" s="29">
        <v>46028</v>
      </c>
      <c r="B374" s="8">
        <f>YEAR(A374)</f>
        <v>2026</v>
      </c>
      <c r="C374" s="27" t="str">
        <f>TEXT(A374,"MMMM")</f>
        <v>janeiro</v>
      </c>
      <c r="D374" s="30" t="s">
        <v>69</v>
      </c>
      <c r="E374" s="30" t="s">
        <v>34</v>
      </c>
      <c r="F374" s="31">
        <v>4.6076388888888889E-2</v>
      </c>
      <c r="G374" s="31">
        <v>0.33738425925925924</v>
      </c>
      <c r="H374" s="31">
        <v>0.63369212962962962</v>
      </c>
      <c r="I374" s="43">
        <f>H374-G374</f>
        <v>0.29630787037037037</v>
      </c>
      <c r="J374" s="43">
        <v>0.3</v>
      </c>
      <c r="K374" s="2"/>
      <c r="L374" s="3">
        <f>J374-I374</f>
        <v>3.6921296296296147E-3</v>
      </c>
      <c r="M374" s="4">
        <f>F374/I374</f>
        <v>0.15550173821335103</v>
      </c>
      <c r="N374" s="4">
        <f>I374/J374</f>
        <v>0.98769290123456799</v>
      </c>
    </row>
    <row r="375" spans="1:14" x14ac:dyDescent="0.3">
      <c r="A375" s="29">
        <v>46028</v>
      </c>
      <c r="B375" s="8">
        <f>YEAR(A375)</f>
        <v>2026</v>
      </c>
      <c r="C375" s="27" t="str">
        <f>TEXT(A375,"MMMM")</f>
        <v>janeiro</v>
      </c>
      <c r="D375" s="30" t="s">
        <v>33</v>
      </c>
      <c r="E375" s="30" t="s">
        <v>34</v>
      </c>
      <c r="F375" s="31">
        <v>5.3969907407407404E-2</v>
      </c>
      <c r="G375" s="31">
        <v>0.33372685185185186</v>
      </c>
      <c r="H375" s="31">
        <v>0.66696759259259264</v>
      </c>
      <c r="I375" s="43">
        <f>H375-G375</f>
        <v>0.33324074074074078</v>
      </c>
      <c r="J375" s="43">
        <v>0.3</v>
      </c>
      <c r="K375" s="2">
        <f>I375-J375</f>
        <v>3.3240740740740793E-2</v>
      </c>
      <c r="L375" s="3"/>
      <c r="M375" s="4">
        <f>F375/I375</f>
        <v>0.16195470964156708</v>
      </c>
      <c r="N375" s="4">
        <f>I375/J375</f>
        <v>1.1108024691358027</v>
      </c>
    </row>
    <row r="376" spans="1:14" x14ac:dyDescent="0.3">
      <c r="A376" s="29">
        <v>46028</v>
      </c>
      <c r="B376" s="8">
        <f>YEAR(A376)</f>
        <v>2026</v>
      </c>
      <c r="C376" s="27" t="str">
        <f>TEXT(A376,"MMMM")</f>
        <v>janeiro</v>
      </c>
      <c r="D376" s="30" t="s">
        <v>24</v>
      </c>
      <c r="E376" s="30" t="s">
        <v>14</v>
      </c>
      <c r="F376" s="31">
        <v>2.6099537037037036E-2</v>
      </c>
      <c r="G376" s="31">
        <v>0.45071759259259259</v>
      </c>
      <c r="H376" s="31">
        <v>0.75142361111111111</v>
      </c>
      <c r="I376" s="43">
        <f>H376-G376</f>
        <v>0.30070601851851853</v>
      </c>
      <c r="J376" s="43">
        <v>0.3</v>
      </c>
      <c r="K376" s="2">
        <f>I376-J376</f>
        <v>7.0601851851853636E-4</v>
      </c>
      <c r="L376" s="3"/>
      <c r="M376" s="4">
        <f>F376/I376</f>
        <v>8.6794195758438858E-2</v>
      </c>
      <c r="N376" s="4">
        <f>I376/J376</f>
        <v>1.0023533950617285</v>
      </c>
    </row>
    <row r="377" spans="1:14" x14ac:dyDescent="0.3">
      <c r="A377" s="29">
        <v>46028</v>
      </c>
      <c r="B377" s="8">
        <f>YEAR(A377)</f>
        <v>2026</v>
      </c>
      <c r="C377" s="27" t="str">
        <f>TEXT(A377,"MMMM")</f>
        <v>janeiro</v>
      </c>
      <c r="D377" s="30" t="s">
        <v>25</v>
      </c>
      <c r="E377" s="30" t="s">
        <v>21</v>
      </c>
      <c r="F377" s="31">
        <v>5.1944444444444446E-2</v>
      </c>
      <c r="G377" s="31">
        <v>0.33333333333333331</v>
      </c>
      <c r="H377" s="31">
        <v>0.65108796296296301</v>
      </c>
      <c r="I377" s="43">
        <f>H377-G377</f>
        <v>0.31775462962962969</v>
      </c>
      <c r="J377" s="43">
        <v>0.3</v>
      </c>
      <c r="K377" s="2">
        <f>I377-J377</f>
        <v>1.7754629629629703E-2</v>
      </c>
      <c r="L377" s="3"/>
      <c r="M377" s="4">
        <f>F377/I377</f>
        <v>0.16347344649231438</v>
      </c>
      <c r="N377" s="4">
        <f>I377/J377</f>
        <v>1.0591820987654323</v>
      </c>
    </row>
    <row r="378" spans="1:14" x14ac:dyDescent="0.3">
      <c r="A378" s="29">
        <v>46028</v>
      </c>
      <c r="B378" s="8">
        <f>YEAR(A378)</f>
        <v>2026</v>
      </c>
      <c r="C378" s="27" t="str">
        <f>TEXT(A378,"MMMM")</f>
        <v>janeiro</v>
      </c>
      <c r="D378" s="30" t="s">
        <v>26</v>
      </c>
      <c r="E378" s="30" t="s">
        <v>15</v>
      </c>
      <c r="F378" s="31">
        <v>4.2268518518518518E-2</v>
      </c>
      <c r="G378" s="31">
        <v>0.33358796296296295</v>
      </c>
      <c r="H378" s="31">
        <v>0.6764930555555555</v>
      </c>
      <c r="I378" s="43">
        <f>H378-G378</f>
        <v>0.34290509259259255</v>
      </c>
      <c r="J378" s="43">
        <v>0.3</v>
      </c>
      <c r="K378" s="2">
        <f>I378-J378</f>
        <v>4.2905092592592564E-2</v>
      </c>
      <c r="L378" s="3"/>
      <c r="M378" s="4">
        <f>F378/I378</f>
        <v>0.12326593985216189</v>
      </c>
      <c r="N378" s="4">
        <f>I378/J378</f>
        <v>1.1430169753086419</v>
      </c>
    </row>
    <row r="379" spans="1:14" x14ac:dyDescent="0.3">
      <c r="A379" s="29">
        <v>46028</v>
      </c>
      <c r="B379" s="8">
        <f>YEAR(A379)</f>
        <v>2026</v>
      </c>
      <c r="C379" s="27" t="str">
        <f>TEXT(A379,"MMMM")</f>
        <v>janeiro</v>
      </c>
      <c r="D379" s="30" t="s">
        <v>27</v>
      </c>
      <c r="E379" s="30" t="s">
        <v>34</v>
      </c>
      <c r="F379" s="31">
        <v>4.5752314814814815E-2</v>
      </c>
      <c r="G379" s="31">
        <v>0.33395833333333336</v>
      </c>
      <c r="H379" s="31">
        <v>0.69861111111111107</v>
      </c>
      <c r="I379" s="43">
        <f>H379-G379</f>
        <v>0.36465277777777771</v>
      </c>
      <c r="J379" s="43">
        <v>0.3</v>
      </c>
      <c r="K379" s="2">
        <f>I379-J379</f>
        <v>6.4652777777777726E-2</v>
      </c>
      <c r="L379" s="3"/>
      <c r="M379" s="4">
        <f>F379/I379</f>
        <v>0.12546816479400752</v>
      </c>
      <c r="N379" s="4">
        <f>I379/J379</f>
        <v>1.2155092592592591</v>
      </c>
    </row>
    <row r="380" spans="1:14" x14ac:dyDescent="0.3">
      <c r="A380" s="29">
        <v>46028</v>
      </c>
      <c r="B380" s="8">
        <f>YEAR(A380)</f>
        <v>2026</v>
      </c>
      <c r="C380" s="27" t="str">
        <f>TEXT(A380,"MMMM")</f>
        <v>janeiro</v>
      </c>
      <c r="D380" s="30" t="s">
        <v>68</v>
      </c>
      <c r="E380" s="30" t="s">
        <v>34</v>
      </c>
      <c r="F380" s="31">
        <v>4.3506944444444445E-2</v>
      </c>
      <c r="G380" s="31">
        <v>0.44453703703703706</v>
      </c>
      <c r="H380" s="31">
        <v>0.75056712962962968</v>
      </c>
      <c r="I380" s="43">
        <f>H380-G380</f>
        <v>0.30603009259259262</v>
      </c>
      <c r="J380" s="43">
        <v>0.3</v>
      </c>
      <c r="K380" s="2">
        <f>I380-J380</f>
        <v>6.0300925925926285E-3</v>
      </c>
      <c r="L380" s="3"/>
      <c r="M380" s="4">
        <f>F380/I380</f>
        <v>0.14216557618849512</v>
      </c>
      <c r="N380" s="4">
        <f>I380/J380</f>
        <v>1.0201003086419755</v>
      </c>
    </row>
    <row r="381" spans="1:14" x14ac:dyDescent="0.3">
      <c r="A381" s="29">
        <v>46028</v>
      </c>
      <c r="B381" s="8">
        <f>YEAR(A381)</f>
        <v>2026</v>
      </c>
      <c r="C381" s="27" t="str">
        <f>TEXT(A381,"MMMM")</f>
        <v>janeiro</v>
      </c>
      <c r="D381" s="30" t="s">
        <v>32</v>
      </c>
      <c r="E381" s="30" t="s">
        <v>34</v>
      </c>
      <c r="F381" s="31">
        <v>4.1412037037037039E-2</v>
      </c>
      <c r="G381" s="31">
        <v>0.4346990740740741</v>
      </c>
      <c r="H381" s="31">
        <v>0.75032407407407409</v>
      </c>
      <c r="I381" s="43">
        <f>H381-G381</f>
        <v>0.31562499999999999</v>
      </c>
      <c r="J381" s="43">
        <v>0.3</v>
      </c>
      <c r="K381" s="2">
        <f>I381-J381</f>
        <v>1.5625E-2</v>
      </c>
      <c r="L381" s="3"/>
      <c r="M381" s="4">
        <f>F381/I381</f>
        <v>0.13120645397873121</v>
      </c>
      <c r="N381" s="4">
        <f>I381/J381</f>
        <v>1.0520833333333333</v>
      </c>
    </row>
    <row r="382" spans="1:14" x14ac:dyDescent="0.3">
      <c r="A382" s="29">
        <v>46028</v>
      </c>
      <c r="B382" s="8">
        <f>YEAR(A382)</f>
        <v>2026</v>
      </c>
      <c r="C382" s="27" t="str">
        <f>TEXT(A382,"MMMM")</f>
        <v>janeiro</v>
      </c>
      <c r="D382" s="30" t="s">
        <v>28</v>
      </c>
      <c r="E382" s="30" t="s">
        <v>14</v>
      </c>
      <c r="F382" s="31">
        <v>3.5266203703703702E-2</v>
      </c>
      <c r="G382" s="31">
        <v>0.45024305555555555</v>
      </c>
      <c r="H382" s="31">
        <v>0.75300925925925921</v>
      </c>
      <c r="I382" s="43">
        <f>H382-G382</f>
        <v>0.30276620370370366</v>
      </c>
      <c r="J382" s="43">
        <v>0.3</v>
      </c>
      <c r="K382" s="2">
        <f>I382-J382</f>
        <v>2.7662037037036735E-3</v>
      </c>
      <c r="L382" s="3"/>
      <c r="M382" s="4">
        <f>F382/I382</f>
        <v>0.11647998776711649</v>
      </c>
      <c r="N382" s="4">
        <f>I382/J382</f>
        <v>1.0092206790123457</v>
      </c>
    </row>
    <row r="383" spans="1:14" x14ac:dyDescent="0.3">
      <c r="A383" s="29">
        <v>46028</v>
      </c>
      <c r="B383" s="8">
        <f>YEAR(A383)</f>
        <v>2026</v>
      </c>
      <c r="C383" s="27" t="str">
        <f>TEXT(A383,"MMMM")</f>
        <v>janeiro</v>
      </c>
      <c r="D383" s="30" t="s">
        <v>29</v>
      </c>
      <c r="E383" s="30" t="s">
        <v>14</v>
      </c>
      <c r="F383" s="31">
        <v>1.4479166666666666E-2</v>
      </c>
      <c r="G383" s="31">
        <v>0.33832175925925928</v>
      </c>
      <c r="H383" s="31">
        <v>0.63982638888888888</v>
      </c>
      <c r="I383" s="43">
        <f>H383-G383</f>
        <v>0.30150462962962959</v>
      </c>
      <c r="J383" s="43">
        <v>0.3</v>
      </c>
      <c r="K383" s="2">
        <f>I383-J383</f>
        <v>1.5046296296296058E-3</v>
      </c>
      <c r="L383" s="3"/>
      <c r="M383" s="4">
        <f>F383/I383</f>
        <v>4.8023032629558544E-2</v>
      </c>
      <c r="N383" s="4">
        <f>I383/J383</f>
        <v>1.0050154320987654</v>
      </c>
    </row>
    <row r="384" spans="1:14" x14ac:dyDescent="0.3">
      <c r="A384" s="29">
        <v>46029</v>
      </c>
      <c r="B384" s="8">
        <f>YEAR(A384)</f>
        <v>2026</v>
      </c>
      <c r="C384" s="27" t="str">
        <f>TEXT(A384,"MMMM")</f>
        <v>janeiro</v>
      </c>
      <c r="D384" s="30" t="s">
        <v>47</v>
      </c>
      <c r="E384" s="30" t="s">
        <v>21</v>
      </c>
      <c r="F384" s="31">
        <v>3.6585648148148145E-2</v>
      </c>
      <c r="G384" s="31">
        <v>0.53677083333333331</v>
      </c>
      <c r="H384" s="31">
        <v>0.75020833333333337</v>
      </c>
      <c r="I384" s="43">
        <f>H384-G384</f>
        <v>0.21343750000000006</v>
      </c>
      <c r="J384" s="43">
        <v>0.25</v>
      </c>
      <c r="K384" s="2"/>
      <c r="L384" s="3">
        <f>J384-I384</f>
        <v>3.6562499999999942E-2</v>
      </c>
      <c r="M384" s="4">
        <f>F384/I384</f>
        <v>0.17141152865896636</v>
      </c>
      <c r="N384" s="4">
        <f>I384/J384</f>
        <v>0.85375000000000023</v>
      </c>
    </row>
    <row r="385" spans="1:14" x14ac:dyDescent="0.3">
      <c r="A385" s="29">
        <v>46029</v>
      </c>
      <c r="B385" s="8">
        <f>YEAR(A385)</f>
        <v>2026</v>
      </c>
      <c r="C385" s="27" t="str">
        <f>TEXT(A385,"MMMM")</f>
        <v>janeiro</v>
      </c>
      <c r="D385" s="30" t="s">
        <v>18</v>
      </c>
      <c r="E385" s="30" t="s">
        <v>14</v>
      </c>
      <c r="F385" s="31">
        <v>1.0648148148148148E-2</v>
      </c>
      <c r="G385" s="31">
        <v>0.40837962962962965</v>
      </c>
      <c r="H385" s="31">
        <v>0.72905092592592591</v>
      </c>
      <c r="I385" s="43">
        <f>H385-G385</f>
        <v>0.32067129629629626</v>
      </c>
      <c r="J385" s="43">
        <v>0.3</v>
      </c>
      <c r="K385" s="2">
        <f>I385-J385</f>
        <v>2.0671296296296271E-2</v>
      </c>
      <c r="L385" s="3"/>
      <c r="M385" s="4">
        <f>F385/I385</f>
        <v>3.3205803797011484E-2</v>
      </c>
      <c r="N385" s="4">
        <f>I385/J385</f>
        <v>1.0689043209876543</v>
      </c>
    </row>
    <row r="386" spans="1:14" x14ac:dyDescent="0.3">
      <c r="A386" s="29">
        <v>46029</v>
      </c>
      <c r="B386" s="8">
        <f>YEAR(A386)</f>
        <v>2026</v>
      </c>
      <c r="C386" s="27" t="str">
        <f>TEXT(A386,"MMMM")</f>
        <v>janeiro</v>
      </c>
      <c r="D386" s="30" t="s">
        <v>19</v>
      </c>
      <c r="E386" s="30" t="s">
        <v>34</v>
      </c>
      <c r="F386" s="31">
        <v>6.6932870370370365E-2</v>
      </c>
      <c r="G386" s="31">
        <v>0.33454861111111112</v>
      </c>
      <c r="H386" s="31">
        <v>0.63356481481481486</v>
      </c>
      <c r="I386" s="43">
        <f>H386-G386</f>
        <v>0.29901620370370374</v>
      </c>
      <c r="J386" s="43">
        <v>0.3</v>
      </c>
      <c r="K386" s="2"/>
      <c r="L386" s="3">
        <f>J386-I386</f>
        <v>9.8379629629624654E-4</v>
      </c>
      <c r="M386" s="4">
        <f>F386/I386</f>
        <v>0.22384362299206498</v>
      </c>
      <c r="N386" s="4">
        <f>I386/J386</f>
        <v>0.99672067901234584</v>
      </c>
    </row>
    <row r="387" spans="1:14" x14ac:dyDescent="0.3">
      <c r="A387" s="29">
        <v>46029</v>
      </c>
      <c r="B387" s="8">
        <f>YEAR(A387)</f>
        <v>2026</v>
      </c>
      <c r="C387" s="27" t="str">
        <f>TEXT(A387,"MMMM")</f>
        <v>janeiro</v>
      </c>
      <c r="D387" s="30" t="s">
        <v>33</v>
      </c>
      <c r="E387" s="30" t="s">
        <v>34</v>
      </c>
      <c r="F387" s="31">
        <v>3.6655092592592593E-2</v>
      </c>
      <c r="G387" s="31">
        <v>0.33372685185185186</v>
      </c>
      <c r="H387" s="31">
        <v>0.6335763888888889</v>
      </c>
      <c r="I387" s="43">
        <f>H387-G387</f>
        <v>0.29984953703703704</v>
      </c>
      <c r="J387" s="43">
        <v>0.3</v>
      </c>
      <c r="K387" s="2"/>
      <c r="L387" s="3"/>
      <c r="M387" s="4">
        <f>F387/I387</f>
        <v>0.12224495310147837</v>
      </c>
      <c r="N387" s="4">
        <f>I387/J387</f>
        <v>0.9994984567901235</v>
      </c>
    </row>
    <row r="388" spans="1:14" x14ac:dyDescent="0.3">
      <c r="A388" s="29">
        <v>46029</v>
      </c>
      <c r="B388" s="8">
        <f>YEAR(A388)</f>
        <v>2026</v>
      </c>
      <c r="C388" s="27" t="str">
        <f>TEXT(A388,"MMMM")</f>
        <v>janeiro</v>
      </c>
      <c r="D388" s="30" t="s">
        <v>24</v>
      </c>
      <c r="E388" s="30" t="s">
        <v>14</v>
      </c>
      <c r="F388" s="31">
        <v>3.4062500000000002E-2</v>
      </c>
      <c r="G388" s="31">
        <v>0.45064814814814813</v>
      </c>
      <c r="H388" s="31">
        <v>0.75084490740740739</v>
      </c>
      <c r="I388" s="43">
        <f>H388-G388</f>
        <v>0.30019675925925926</v>
      </c>
      <c r="J388" s="43">
        <v>0.3</v>
      </c>
      <c r="K388" s="2">
        <f>I388-J388</f>
        <v>1.9675925925927151E-4</v>
      </c>
      <c r="L388" s="3"/>
      <c r="M388" s="4">
        <f>F388/I388</f>
        <v>0.11346724756139878</v>
      </c>
      <c r="N388" s="4">
        <f>I388/J388</f>
        <v>1.0006558641975309</v>
      </c>
    </row>
    <row r="389" spans="1:14" x14ac:dyDescent="0.3">
      <c r="A389" s="29">
        <v>46029</v>
      </c>
      <c r="B389" s="8">
        <f>YEAR(A389)</f>
        <v>2026</v>
      </c>
      <c r="C389" s="27" t="str">
        <f>TEXT(A389,"MMMM")</f>
        <v>janeiro</v>
      </c>
      <c r="D389" s="30" t="s">
        <v>25</v>
      </c>
      <c r="E389" s="30" t="s">
        <v>21</v>
      </c>
      <c r="F389" s="31">
        <v>4.7523148148148148E-2</v>
      </c>
      <c r="G389" s="31">
        <v>0.33333333333333331</v>
      </c>
      <c r="H389" s="31">
        <v>0.67540509259259263</v>
      </c>
      <c r="I389" s="43">
        <f>H389-G389</f>
        <v>0.34207175925925931</v>
      </c>
      <c r="J389" s="43">
        <v>0.3</v>
      </c>
      <c r="K389" s="2">
        <f>I389-J389</f>
        <v>4.2071759259259323E-2</v>
      </c>
      <c r="L389" s="3"/>
      <c r="M389" s="4">
        <f>F389/I389</f>
        <v>0.13892742344780915</v>
      </c>
      <c r="N389" s="4">
        <f>I389/J389</f>
        <v>1.1402391975308643</v>
      </c>
    </row>
    <row r="390" spans="1:14" x14ac:dyDescent="0.3">
      <c r="A390" s="29">
        <v>46029</v>
      </c>
      <c r="B390" s="8">
        <f>YEAR(A390)</f>
        <v>2026</v>
      </c>
      <c r="C390" s="27" t="str">
        <f>TEXT(A390,"MMMM")</f>
        <v>janeiro</v>
      </c>
      <c r="D390" s="30" t="s">
        <v>26</v>
      </c>
      <c r="E390" s="30" t="s">
        <v>15</v>
      </c>
      <c r="F390" s="31">
        <v>4.1435185185185186E-2</v>
      </c>
      <c r="G390" s="31">
        <v>0.33476851851851852</v>
      </c>
      <c r="H390" s="31">
        <v>0.67560185185185184</v>
      </c>
      <c r="I390" s="43">
        <f>H390-G390</f>
        <v>0.34083333333333332</v>
      </c>
      <c r="J390" s="43">
        <v>0.3</v>
      </c>
      <c r="K390" s="2">
        <f>I390-J390</f>
        <v>4.0833333333333333E-2</v>
      </c>
      <c r="L390" s="3"/>
      <c r="M390" s="4">
        <f>F390/I390</f>
        <v>0.12157022548220593</v>
      </c>
      <c r="N390" s="4">
        <f>I390/J390</f>
        <v>1.1361111111111111</v>
      </c>
    </row>
    <row r="391" spans="1:14" x14ac:dyDescent="0.3">
      <c r="A391" s="29">
        <v>46029</v>
      </c>
      <c r="B391" s="8">
        <f>YEAR(A391)</f>
        <v>2026</v>
      </c>
      <c r="C391" s="27" t="str">
        <f>TEXT(A391,"MMMM")</f>
        <v>janeiro</v>
      </c>
      <c r="D391" s="30" t="s">
        <v>27</v>
      </c>
      <c r="E391" s="30" t="s">
        <v>34</v>
      </c>
      <c r="F391" s="31">
        <v>3.4745370370370371E-2</v>
      </c>
      <c r="G391" s="31">
        <v>0.33405092592592595</v>
      </c>
      <c r="H391" s="31">
        <v>0.63480324074074079</v>
      </c>
      <c r="I391" s="43">
        <f>H391-G391</f>
        <v>0.30075231481481485</v>
      </c>
      <c r="J391" s="43">
        <v>0.3</v>
      </c>
      <c r="K391" s="2">
        <f>I391-J391</f>
        <v>7.523148148148584E-4</v>
      </c>
      <c r="L391" s="3"/>
      <c r="M391" s="4">
        <f>F391/I391</f>
        <v>0.11552818934000383</v>
      </c>
      <c r="N391" s="4">
        <f>I391/J391</f>
        <v>1.0025077160493829</v>
      </c>
    </row>
    <row r="392" spans="1:14" x14ac:dyDescent="0.3">
      <c r="A392" s="29">
        <v>46029</v>
      </c>
      <c r="B392" s="8">
        <f>YEAR(A392)</f>
        <v>2026</v>
      </c>
      <c r="C392" s="27" t="str">
        <f>TEXT(A392,"MMMM")</f>
        <v>janeiro</v>
      </c>
      <c r="D392" s="30" t="s">
        <v>32</v>
      </c>
      <c r="E392" s="30" t="s">
        <v>34</v>
      </c>
      <c r="F392" s="31">
        <v>5.8425925925925923E-2</v>
      </c>
      <c r="G392" s="31">
        <v>0.44290509259259259</v>
      </c>
      <c r="H392" s="31">
        <v>0.75232638888888892</v>
      </c>
      <c r="I392" s="43">
        <f>H392-G392</f>
        <v>0.30942129629629633</v>
      </c>
      <c r="J392" s="43">
        <v>0.3</v>
      </c>
      <c r="K392" s="2">
        <f>I392-J392</f>
        <v>9.4212962962963442E-3</v>
      </c>
      <c r="L392" s="3"/>
      <c r="M392" s="4">
        <f>F392/I392</f>
        <v>0.1888232213660507</v>
      </c>
      <c r="N392" s="4">
        <f>I392/J392</f>
        <v>1.0314043209876544</v>
      </c>
    </row>
    <row r="393" spans="1:14" x14ac:dyDescent="0.3">
      <c r="A393" s="29">
        <v>46029</v>
      </c>
      <c r="B393" s="8">
        <f>YEAR(A393)</f>
        <v>2026</v>
      </c>
      <c r="C393" s="27" t="str">
        <f>TEXT(A393,"MMMM")</f>
        <v>janeiro</v>
      </c>
      <c r="D393" s="30" t="s">
        <v>30</v>
      </c>
      <c r="E393" s="30" t="s">
        <v>34</v>
      </c>
      <c r="F393" s="31">
        <v>1.8668981481481481E-2</v>
      </c>
      <c r="G393" s="31">
        <v>0.33550925925925928</v>
      </c>
      <c r="H393" s="31">
        <v>0.6333333333333333</v>
      </c>
      <c r="I393" s="43">
        <f>H393-G393</f>
        <v>0.29782407407407402</v>
      </c>
      <c r="J393" s="43">
        <v>0.3</v>
      </c>
      <c r="K393" s="2"/>
      <c r="L393" s="3">
        <f>J393-I393</f>
        <v>2.17592592592597E-3</v>
      </c>
      <c r="M393" s="4">
        <f>F393/I393</f>
        <v>6.2684595056738707E-2</v>
      </c>
      <c r="N393" s="4">
        <f>I393/J393</f>
        <v>0.9927469135802468</v>
      </c>
    </row>
    <row r="394" spans="1:14" x14ac:dyDescent="0.3">
      <c r="A394" s="29">
        <v>46029</v>
      </c>
      <c r="B394" s="8">
        <f>YEAR(A394)</f>
        <v>2026</v>
      </c>
      <c r="C394" s="27" t="str">
        <f>TEXT(A394,"MMMM")</f>
        <v>janeiro</v>
      </c>
      <c r="D394" s="30" t="s">
        <v>28</v>
      </c>
      <c r="E394" s="30" t="s">
        <v>14</v>
      </c>
      <c r="F394" s="31">
        <v>3.5520833333333335E-2</v>
      </c>
      <c r="G394" s="31">
        <v>0.45155092592592594</v>
      </c>
      <c r="H394" s="31">
        <v>0.75228009259259254</v>
      </c>
      <c r="I394" s="43">
        <f>H394-G394</f>
        <v>0.3007291666666666</v>
      </c>
      <c r="J394" s="43">
        <v>0.3</v>
      </c>
      <c r="K394" s="2">
        <f>I394-J394</f>
        <v>7.2916666666661412E-4</v>
      </c>
      <c r="L394" s="3"/>
      <c r="M394" s="4">
        <f>F394/I394</f>
        <v>0.11811569102874959</v>
      </c>
      <c r="N394" s="4">
        <f>I394/J394</f>
        <v>1.0024305555555555</v>
      </c>
    </row>
    <row r="395" spans="1:14" x14ac:dyDescent="0.3">
      <c r="A395" s="29">
        <v>46029</v>
      </c>
      <c r="B395" s="8">
        <f>YEAR(A395)</f>
        <v>2026</v>
      </c>
      <c r="C395" s="27" t="str">
        <f>TEXT(A395,"MMMM")</f>
        <v>janeiro</v>
      </c>
      <c r="D395" s="30" t="s">
        <v>29</v>
      </c>
      <c r="E395" s="30" t="s">
        <v>14</v>
      </c>
      <c r="F395" s="31">
        <v>1.5532407407407408E-2</v>
      </c>
      <c r="G395" s="31">
        <v>0.33341435185185186</v>
      </c>
      <c r="H395" s="31">
        <v>0.63369212962962962</v>
      </c>
      <c r="I395" s="43">
        <f>H395-G395</f>
        <v>0.30027777777777775</v>
      </c>
      <c r="J395" s="43">
        <v>0.3</v>
      </c>
      <c r="K395" s="2">
        <f>I395-J395</f>
        <v>2.7777777777776569E-4</v>
      </c>
      <c r="L395" s="3"/>
      <c r="M395" s="4">
        <f>F395/I395</f>
        <v>5.1726796176379902E-2</v>
      </c>
      <c r="N395" s="4">
        <f>I395/J395</f>
        <v>1.0009259259259258</v>
      </c>
    </row>
    <row r="396" spans="1:14" x14ac:dyDescent="0.3">
      <c r="A396" s="29">
        <v>46030</v>
      </c>
      <c r="B396" s="8">
        <f>YEAR(A396)</f>
        <v>2026</v>
      </c>
      <c r="C396" s="27" t="str">
        <f>TEXT(A396,"MMMM")</f>
        <v>janeiro</v>
      </c>
      <c r="D396" s="30" t="s">
        <v>47</v>
      </c>
      <c r="E396" s="30" t="s">
        <v>21</v>
      </c>
      <c r="F396" s="31">
        <v>3.4421296296296297E-2</v>
      </c>
      <c r="G396" s="31">
        <v>0.51430555555555557</v>
      </c>
      <c r="H396" s="31">
        <v>0.75037037037037035</v>
      </c>
      <c r="I396" s="43">
        <f>H396-G396</f>
        <v>0.23606481481481478</v>
      </c>
      <c r="J396" s="43">
        <v>0.25</v>
      </c>
      <c r="K396" s="2"/>
      <c r="L396" s="3">
        <f>J396-I396</f>
        <v>1.3935185185185217E-2</v>
      </c>
      <c r="M396" s="4">
        <f>F396/I396</f>
        <v>0.1458129044910767</v>
      </c>
      <c r="N396" s="4">
        <f>I396/J396</f>
        <v>0.94425925925925913</v>
      </c>
    </row>
    <row r="397" spans="1:14" x14ac:dyDescent="0.3">
      <c r="A397" s="29">
        <v>46030</v>
      </c>
      <c r="B397" s="8">
        <f>YEAR(A397)</f>
        <v>2026</v>
      </c>
      <c r="C397" s="27" t="str">
        <f>TEXT(A397,"MMMM")</f>
        <v>janeiro</v>
      </c>
      <c r="D397" s="30" t="s">
        <v>18</v>
      </c>
      <c r="E397" s="30" t="s">
        <v>14</v>
      </c>
      <c r="F397" s="31">
        <v>6.0069444444444441E-3</v>
      </c>
      <c r="G397" s="31">
        <v>0.33408564814814817</v>
      </c>
      <c r="H397" s="31">
        <v>0.69343750000000004</v>
      </c>
      <c r="I397" s="43">
        <f>H397-G397</f>
        <v>0.35935185185185187</v>
      </c>
      <c r="J397" s="43">
        <v>0.3</v>
      </c>
      <c r="K397" s="2">
        <f>I397-J397</f>
        <v>5.9351851851851878E-2</v>
      </c>
      <c r="L397" s="3"/>
      <c r="M397" s="4">
        <f>F397/I397</f>
        <v>1.6716052563772222E-2</v>
      </c>
      <c r="N397" s="4">
        <f>I397/J397</f>
        <v>1.1978395061728395</v>
      </c>
    </row>
    <row r="398" spans="1:14" x14ac:dyDescent="0.3">
      <c r="A398" s="29">
        <v>46030</v>
      </c>
      <c r="B398" s="8">
        <f>YEAR(A398)</f>
        <v>2026</v>
      </c>
      <c r="C398" s="27" t="str">
        <f>TEXT(A398,"MMMM")</f>
        <v>janeiro</v>
      </c>
      <c r="D398" s="30" t="s">
        <v>69</v>
      </c>
      <c r="E398" s="30" t="s">
        <v>34</v>
      </c>
      <c r="F398" s="31">
        <v>4.0300925925925928E-2</v>
      </c>
      <c r="G398" s="31">
        <v>0.33565972222222223</v>
      </c>
      <c r="H398" s="31">
        <v>0.6548842592592593</v>
      </c>
      <c r="I398" s="43">
        <f>H398-G398</f>
        <v>0.31922453703703707</v>
      </c>
      <c r="J398" s="43">
        <v>0.3</v>
      </c>
      <c r="K398" s="2">
        <f>I398-J398</f>
        <v>1.9224537037037082E-2</v>
      </c>
      <c r="L398" s="3"/>
      <c r="M398" s="4">
        <f>F398/I398</f>
        <v>0.12624632899459773</v>
      </c>
      <c r="N398" s="4">
        <f>I398/J398</f>
        <v>1.0640817901234569</v>
      </c>
    </row>
    <row r="399" spans="1:14" x14ac:dyDescent="0.3">
      <c r="A399" s="29">
        <v>46030</v>
      </c>
      <c r="B399" s="8">
        <f>YEAR(A399)</f>
        <v>2026</v>
      </c>
      <c r="C399" s="27" t="str">
        <f>TEXT(A399,"MMMM")</f>
        <v>janeiro</v>
      </c>
      <c r="D399" s="30" t="s">
        <v>33</v>
      </c>
      <c r="E399" s="30" t="s">
        <v>34</v>
      </c>
      <c r="F399" s="31">
        <v>3.5092592592592592E-2</v>
      </c>
      <c r="G399" s="31">
        <v>0.33372685185185186</v>
      </c>
      <c r="H399" s="31">
        <v>0.66736111111111107</v>
      </c>
      <c r="I399" s="43">
        <f>H399-G399</f>
        <v>0.33363425925925921</v>
      </c>
      <c r="J399" s="43">
        <v>0.3</v>
      </c>
      <c r="K399" s="2">
        <f>I399-J399</f>
        <v>3.3634259259259225E-2</v>
      </c>
      <c r="L399" s="3"/>
      <c r="M399" s="4">
        <f>F399/I399</f>
        <v>0.10518282106431695</v>
      </c>
      <c r="N399" s="4">
        <f>I399/J399</f>
        <v>1.1121141975308642</v>
      </c>
    </row>
    <row r="400" spans="1:14" x14ac:dyDescent="0.3">
      <c r="A400" s="29">
        <v>46030</v>
      </c>
      <c r="B400" s="8">
        <f>YEAR(A400)</f>
        <v>2026</v>
      </c>
      <c r="C400" s="27" t="str">
        <f>TEXT(A400,"MMMM")</f>
        <v>janeiro</v>
      </c>
      <c r="D400" s="30" t="s">
        <v>24</v>
      </c>
      <c r="E400" s="30" t="s">
        <v>14</v>
      </c>
      <c r="F400" s="31">
        <v>3.2488425925925928E-2</v>
      </c>
      <c r="G400" s="31">
        <v>0.45753472222222225</v>
      </c>
      <c r="H400" s="31">
        <v>0.75556712962962957</v>
      </c>
      <c r="I400" s="43">
        <f>H400-G400</f>
        <v>0.29803240740740733</v>
      </c>
      <c r="J400" s="43">
        <v>0.3</v>
      </c>
      <c r="K400" s="2"/>
      <c r="L400" s="3">
        <f>J400-I400</f>
        <v>1.9675925925926596E-3</v>
      </c>
      <c r="M400" s="4">
        <f>F400/I400</f>
        <v>0.10900970873786411</v>
      </c>
      <c r="N400" s="4">
        <f>I400/J400</f>
        <v>0.99344135802469113</v>
      </c>
    </row>
    <row r="401" spans="1:14" x14ac:dyDescent="0.3">
      <c r="A401" s="29">
        <v>46030</v>
      </c>
      <c r="B401" s="8">
        <f>YEAR(A401)</f>
        <v>2026</v>
      </c>
      <c r="C401" s="27" t="str">
        <f>TEXT(A401,"MMMM")</f>
        <v>janeiro</v>
      </c>
      <c r="D401" s="30" t="s">
        <v>25</v>
      </c>
      <c r="E401" s="30" t="s">
        <v>21</v>
      </c>
      <c r="F401" s="31">
        <v>4.4571759259259262E-2</v>
      </c>
      <c r="G401" s="31">
        <v>0.33333333333333331</v>
      </c>
      <c r="H401" s="31">
        <v>0.65156250000000004</v>
      </c>
      <c r="I401" s="43">
        <f>H401-G401</f>
        <v>0.31822916666666673</v>
      </c>
      <c r="J401" s="43">
        <v>0.3</v>
      </c>
      <c r="K401" s="2">
        <f>I401-J401</f>
        <v>1.8229166666666741E-2</v>
      </c>
      <c r="L401" s="3"/>
      <c r="M401" s="4">
        <f>F401/I401</f>
        <v>0.14006182942353154</v>
      </c>
      <c r="N401" s="4">
        <f>I401/J401</f>
        <v>1.0607638888888891</v>
      </c>
    </row>
    <row r="402" spans="1:14" x14ac:dyDescent="0.3">
      <c r="A402" s="29">
        <v>46030</v>
      </c>
      <c r="B402" s="8">
        <f>YEAR(A402)</f>
        <v>2026</v>
      </c>
      <c r="C402" s="27" t="str">
        <f>TEXT(A402,"MMMM")</f>
        <v>janeiro</v>
      </c>
      <c r="D402" s="30" t="s">
        <v>26</v>
      </c>
      <c r="E402" s="30" t="s">
        <v>15</v>
      </c>
      <c r="F402" s="31">
        <v>4.0069444444444442E-2</v>
      </c>
      <c r="G402" s="31">
        <v>0.33561342592592591</v>
      </c>
      <c r="H402" s="31">
        <v>0.63609953703703703</v>
      </c>
      <c r="I402" s="43">
        <f>H402-G402</f>
        <v>0.30048611111111112</v>
      </c>
      <c r="J402" s="43">
        <v>0.3</v>
      </c>
      <c r="K402" s="2">
        <f>I402-J402</f>
        <v>4.8611111111113159E-4</v>
      </c>
      <c r="L402" s="3"/>
      <c r="M402" s="4">
        <f>F402/I402</f>
        <v>0.13334874046683615</v>
      </c>
      <c r="N402" s="4">
        <f>I402/J402</f>
        <v>1.0016203703703705</v>
      </c>
    </row>
    <row r="403" spans="1:14" x14ac:dyDescent="0.3">
      <c r="A403" s="29">
        <v>46030</v>
      </c>
      <c r="B403" s="8">
        <f>YEAR(A403)</f>
        <v>2026</v>
      </c>
      <c r="C403" s="27" t="str">
        <f>TEXT(A403,"MMMM")</f>
        <v>janeiro</v>
      </c>
      <c r="D403" s="30" t="s">
        <v>27</v>
      </c>
      <c r="E403" s="30" t="s">
        <v>34</v>
      </c>
      <c r="F403" s="31">
        <v>2.8587962962962964E-2</v>
      </c>
      <c r="G403" s="31">
        <v>0.33376157407407409</v>
      </c>
      <c r="H403" s="31">
        <v>0.69442129629629634</v>
      </c>
      <c r="I403" s="43">
        <f>H403-G403</f>
        <v>0.36065972222222226</v>
      </c>
      <c r="J403" s="43">
        <v>0.3</v>
      </c>
      <c r="K403" s="2">
        <f>I403-J403</f>
        <v>6.0659722222222268E-2</v>
      </c>
      <c r="L403" s="3"/>
      <c r="M403" s="4">
        <f>F403/I403</f>
        <v>7.9265748852732576E-2</v>
      </c>
      <c r="N403" s="4">
        <f>I403/J403</f>
        <v>1.2021990740740742</v>
      </c>
    </row>
    <row r="404" spans="1:14" x14ac:dyDescent="0.3">
      <c r="A404" s="29">
        <v>46030</v>
      </c>
      <c r="B404" s="8">
        <f>YEAR(A404)</f>
        <v>2026</v>
      </c>
      <c r="C404" s="27" t="str">
        <f>TEXT(A404,"MMMM")</f>
        <v>janeiro</v>
      </c>
      <c r="D404" s="30" t="s">
        <v>32</v>
      </c>
      <c r="E404" s="30" t="s">
        <v>34</v>
      </c>
      <c r="F404" s="31">
        <v>4.5914351851851852E-2</v>
      </c>
      <c r="G404" s="31">
        <v>0.45513888888888887</v>
      </c>
      <c r="H404" s="31">
        <v>0.75026620370370367</v>
      </c>
      <c r="I404" s="43">
        <f>H404-G404</f>
        <v>0.2951273148148148</v>
      </c>
      <c r="J404" s="43">
        <v>0.3</v>
      </c>
      <c r="K404" s="2"/>
      <c r="L404" s="3">
        <f>J404-I404</f>
        <v>4.8726851851851882E-3</v>
      </c>
      <c r="M404" s="4">
        <f>F404/I404</f>
        <v>0.1555747284207224</v>
      </c>
      <c r="N404" s="4">
        <f>I404/J404</f>
        <v>0.98375771604938267</v>
      </c>
    </row>
    <row r="405" spans="1:14" x14ac:dyDescent="0.3">
      <c r="A405" s="29">
        <v>46030</v>
      </c>
      <c r="B405" s="8">
        <f>YEAR(A405)</f>
        <v>2026</v>
      </c>
      <c r="C405" s="27" t="str">
        <f>TEXT(A405,"MMMM")</f>
        <v>janeiro</v>
      </c>
      <c r="D405" s="30" t="s">
        <v>28</v>
      </c>
      <c r="E405" s="30" t="s">
        <v>14</v>
      </c>
      <c r="F405" s="31">
        <v>2.9687499999999999E-2</v>
      </c>
      <c r="G405" s="31">
        <v>0.45655092592592594</v>
      </c>
      <c r="H405" s="31">
        <v>0.75571759259259264</v>
      </c>
      <c r="I405" s="43">
        <f>H405-G405</f>
        <v>0.29916666666666669</v>
      </c>
      <c r="J405" s="43">
        <v>0.3</v>
      </c>
      <c r="K405" s="2"/>
      <c r="L405" s="3">
        <f>J405-I405</f>
        <v>8.3333333333329707E-4</v>
      </c>
      <c r="M405" s="4">
        <f>F405/I405</f>
        <v>9.9233983286908065E-2</v>
      </c>
      <c r="N405" s="4">
        <f>I405/J405</f>
        <v>0.99722222222222234</v>
      </c>
    </row>
    <row r="406" spans="1:14" x14ac:dyDescent="0.3">
      <c r="A406" s="29">
        <v>46030</v>
      </c>
      <c r="B406" s="8">
        <f>YEAR(A406)</f>
        <v>2026</v>
      </c>
      <c r="C406" s="27" t="str">
        <f>TEXT(A406,"MMMM")</f>
        <v>janeiro</v>
      </c>
      <c r="D406" s="30" t="s">
        <v>29</v>
      </c>
      <c r="E406" s="30" t="s">
        <v>14</v>
      </c>
      <c r="F406" s="31">
        <v>1.5069444444444444E-2</v>
      </c>
      <c r="G406" s="31">
        <v>0.3338888888888889</v>
      </c>
      <c r="H406" s="31">
        <v>0.65299768518518519</v>
      </c>
      <c r="I406" s="43">
        <f>H406-G406</f>
        <v>0.31910879629629629</v>
      </c>
      <c r="J406" s="43">
        <v>0.3</v>
      </c>
      <c r="K406" s="2">
        <f>I406-J406</f>
        <v>1.9108796296296304E-2</v>
      </c>
      <c r="L406" s="3"/>
      <c r="M406" s="4">
        <f>F406/I406</f>
        <v>4.7223531971999563E-2</v>
      </c>
      <c r="N406" s="4">
        <f>I406/J406</f>
        <v>1.0636959876543211</v>
      </c>
    </row>
    <row r="407" spans="1:14" x14ac:dyDescent="0.3">
      <c r="A407" s="29">
        <v>46031</v>
      </c>
      <c r="B407" s="8">
        <f>YEAR(A407)</f>
        <v>2026</v>
      </c>
      <c r="C407" s="27" t="str">
        <f>TEXT(A407,"MMMM")</f>
        <v>janeiro</v>
      </c>
      <c r="D407" s="30" t="s">
        <v>18</v>
      </c>
      <c r="E407" s="30" t="s">
        <v>14</v>
      </c>
      <c r="F407" s="31">
        <v>1.9444444444444445E-2</v>
      </c>
      <c r="G407" s="31">
        <v>0.35824074074074075</v>
      </c>
      <c r="H407" s="31">
        <v>0.63799768518518518</v>
      </c>
      <c r="I407" s="43">
        <f>H407-G407</f>
        <v>0.27975694444444443</v>
      </c>
      <c r="J407" s="43">
        <v>0.3</v>
      </c>
      <c r="K407" s="2"/>
      <c r="L407" s="3">
        <f>J407-I407</f>
        <v>2.0243055555555556E-2</v>
      </c>
      <c r="M407" s="4">
        <f>F407/I407</f>
        <v>6.9504778453518684E-2</v>
      </c>
      <c r="N407" s="4">
        <f>I407/J407</f>
        <v>0.93252314814814818</v>
      </c>
    </row>
    <row r="408" spans="1:14" x14ac:dyDescent="0.3">
      <c r="A408" s="29">
        <v>46031</v>
      </c>
      <c r="B408" s="8">
        <f>YEAR(A408)</f>
        <v>2026</v>
      </c>
      <c r="C408" s="27" t="str">
        <f>TEXT(A408,"MMMM")</f>
        <v>janeiro</v>
      </c>
      <c r="D408" s="30" t="s">
        <v>19</v>
      </c>
      <c r="E408" s="30" t="s">
        <v>34</v>
      </c>
      <c r="F408" s="31">
        <v>4.3530092592592592E-2</v>
      </c>
      <c r="G408" s="31">
        <v>0.33515046296296297</v>
      </c>
      <c r="H408" s="31">
        <v>0.63531249999999995</v>
      </c>
      <c r="I408" s="43">
        <f>H408-G408</f>
        <v>0.30016203703703698</v>
      </c>
      <c r="J408" s="43">
        <v>0.3</v>
      </c>
      <c r="K408" s="2">
        <f>I408-J408</f>
        <v>1.6203703703698835E-4</v>
      </c>
      <c r="L408" s="3"/>
      <c r="M408" s="4">
        <f>F408/I408</f>
        <v>0.14502197886943782</v>
      </c>
      <c r="N408" s="4">
        <f>I408/J408</f>
        <v>1.0005401234567899</v>
      </c>
    </row>
    <row r="409" spans="1:14" x14ac:dyDescent="0.3">
      <c r="A409" s="29">
        <v>46031</v>
      </c>
      <c r="B409" s="8">
        <f>YEAR(A409)</f>
        <v>2026</v>
      </c>
      <c r="C409" s="27" t="str">
        <f>TEXT(A409,"MMMM")</f>
        <v>janeiro</v>
      </c>
      <c r="D409" s="30" t="s">
        <v>69</v>
      </c>
      <c r="E409" s="30" t="s">
        <v>34</v>
      </c>
      <c r="F409" s="31">
        <v>4.1608796296296297E-2</v>
      </c>
      <c r="G409" s="31">
        <v>0.33815972222222224</v>
      </c>
      <c r="H409" s="31">
        <v>0.65453703703703703</v>
      </c>
      <c r="I409" s="43">
        <f>H409-G409</f>
        <v>0.31637731481481479</v>
      </c>
      <c r="J409" s="43">
        <v>0.3</v>
      </c>
      <c r="K409" s="2">
        <f>I409-J409</f>
        <v>1.6377314814814803E-2</v>
      </c>
      <c r="L409" s="3"/>
      <c r="M409" s="4">
        <f>F409/I409</f>
        <v>0.13151637095299068</v>
      </c>
      <c r="N409" s="4">
        <f>I409/J409</f>
        <v>1.054591049382716</v>
      </c>
    </row>
    <row r="410" spans="1:14" x14ac:dyDescent="0.3">
      <c r="A410" s="29">
        <v>46031</v>
      </c>
      <c r="B410" s="8">
        <f>YEAR(A410)</f>
        <v>2026</v>
      </c>
      <c r="C410" s="27" t="str">
        <f>TEXT(A410,"MMMM")</f>
        <v>janeiro</v>
      </c>
      <c r="D410" s="30" t="s">
        <v>33</v>
      </c>
      <c r="E410" s="30" t="s">
        <v>34</v>
      </c>
      <c r="F410" s="31">
        <v>3.7083333333333336E-2</v>
      </c>
      <c r="G410" s="31">
        <v>0.33372685185185186</v>
      </c>
      <c r="H410" s="31">
        <v>0.66734953703703703</v>
      </c>
      <c r="I410" s="43">
        <f>H410-G410</f>
        <v>0.33362268518518517</v>
      </c>
      <c r="J410" s="43">
        <v>0.3</v>
      </c>
      <c r="K410" s="2">
        <f>I410-J410</f>
        <v>3.3622685185185186E-2</v>
      </c>
      <c r="L410" s="3"/>
      <c r="M410" s="4">
        <f>F410/I410</f>
        <v>0.111153512575889</v>
      </c>
      <c r="N410" s="4">
        <f>I410/J410</f>
        <v>1.1120756172839505</v>
      </c>
    </row>
    <row r="411" spans="1:14" x14ac:dyDescent="0.3">
      <c r="A411" s="29">
        <v>46031</v>
      </c>
      <c r="B411" s="8">
        <f>YEAR(A411)</f>
        <v>2026</v>
      </c>
      <c r="C411" s="27" t="str">
        <f>TEXT(A411,"MMMM")</f>
        <v>janeiro</v>
      </c>
      <c r="D411" s="30" t="s">
        <v>25</v>
      </c>
      <c r="E411" s="30" t="s">
        <v>21</v>
      </c>
      <c r="F411" s="31">
        <v>5.2986111111111109E-2</v>
      </c>
      <c r="G411" s="31">
        <v>0.33401620370370372</v>
      </c>
      <c r="H411" s="31">
        <v>0.63464120370370369</v>
      </c>
      <c r="I411" s="43">
        <f>H411-G411</f>
        <v>0.30062499999999998</v>
      </c>
      <c r="J411" s="43">
        <v>0.3</v>
      </c>
      <c r="K411" s="2">
        <f>I411-J411</f>
        <v>6.2499999999998668E-4</v>
      </c>
      <c r="L411" s="3"/>
      <c r="M411" s="4">
        <f>F411/I411</f>
        <v>0.17625317625317627</v>
      </c>
      <c r="N411" s="4">
        <f>I411/J411</f>
        <v>1.0020833333333332</v>
      </c>
    </row>
    <row r="412" spans="1:14" x14ac:dyDescent="0.3">
      <c r="A412" s="29">
        <v>46031</v>
      </c>
      <c r="B412" s="8">
        <f>YEAR(A412)</f>
        <v>2026</v>
      </c>
      <c r="C412" s="27" t="str">
        <f>TEXT(A412,"MMMM")</f>
        <v>janeiro</v>
      </c>
      <c r="D412" s="30" t="s">
        <v>26</v>
      </c>
      <c r="E412" s="30" t="s">
        <v>15</v>
      </c>
      <c r="F412" s="31">
        <v>3.515046296296296E-2</v>
      </c>
      <c r="G412" s="31">
        <v>0.33466435185185184</v>
      </c>
      <c r="H412" s="31">
        <v>0.63481481481481483</v>
      </c>
      <c r="I412" s="43">
        <f>H412-G412</f>
        <v>0.30015046296296299</v>
      </c>
      <c r="J412" s="43">
        <v>0.3</v>
      </c>
      <c r="K412" s="2">
        <f>I412-J412</f>
        <v>1.5046296296300499E-4</v>
      </c>
      <c r="L412" s="3"/>
      <c r="M412" s="4">
        <f>F412/I412</f>
        <v>0.11710947441483821</v>
      </c>
      <c r="N412" s="4">
        <f>I412/J412</f>
        <v>1.0005015432098767</v>
      </c>
    </row>
    <row r="413" spans="1:14" x14ac:dyDescent="0.3">
      <c r="A413" s="29">
        <v>46031</v>
      </c>
      <c r="B413" s="8">
        <f>YEAR(A413)</f>
        <v>2026</v>
      </c>
      <c r="C413" s="27" t="str">
        <f>TEXT(A413,"MMMM")</f>
        <v>janeiro</v>
      </c>
      <c r="D413" s="30" t="s">
        <v>27</v>
      </c>
      <c r="E413" s="30" t="s">
        <v>34</v>
      </c>
      <c r="F413" s="31">
        <v>3.2835648148148149E-2</v>
      </c>
      <c r="G413" s="31">
        <v>0.3338888888888889</v>
      </c>
      <c r="H413" s="31">
        <v>0.68662037037037038</v>
      </c>
      <c r="I413" s="43">
        <f>H413-G413</f>
        <v>0.35273148148148148</v>
      </c>
      <c r="J413" s="43">
        <v>0.3</v>
      </c>
      <c r="K413" s="2">
        <f>I413-J413</f>
        <v>5.273148148148149E-2</v>
      </c>
      <c r="L413" s="3"/>
      <c r="M413" s="4">
        <f>F413/I413</f>
        <v>9.3089644310276942E-2</v>
      </c>
      <c r="N413" s="4">
        <f>I413/J413</f>
        <v>1.1757716049382716</v>
      </c>
    </row>
    <row r="414" spans="1:14" x14ac:dyDescent="0.3">
      <c r="A414" s="29">
        <v>46031</v>
      </c>
      <c r="B414" s="8">
        <f>YEAR(A414)</f>
        <v>2026</v>
      </c>
      <c r="C414" s="27" t="str">
        <f>TEXT(A414,"MMMM")</f>
        <v>janeiro</v>
      </c>
      <c r="D414" s="30" t="s">
        <v>68</v>
      </c>
      <c r="E414" s="30" t="s">
        <v>34</v>
      </c>
      <c r="F414" s="31">
        <v>3.4317129629629628E-2</v>
      </c>
      <c r="G414" s="31">
        <v>0.46326388888888886</v>
      </c>
      <c r="H414" s="31">
        <v>0.75035879629629632</v>
      </c>
      <c r="I414" s="43">
        <f>H414-G414</f>
        <v>0.28709490740740745</v>
      </c>
      <c r="J414" s="43">
        <v>0.3</v>
      </c>
      <c r="K414" s="2"/>
      <c r="L414" s="3">
        <f>J414-I414</f>
        <v>1.2905092592592537E-2</v>
      </c>
      <c r="M414" s="4">
        <f>F414/I414</f>
        <v>0.11953235234831684</v>
      </c>
      <c r="N414" s="4">
        <f>I414/J414</f>
        <v>0.95698302469135821</v>
      </c>
    </row>
    <row r="415" spans="1:14" x14ac:dyDescent="0.3">
      <c r="A415" s="29">
        <v>46031</v>
      </c>
      <c r="B415" s="8">
        <f>YEAR(A415)</f>
        <v>2026</v>
      </c>
      <c r="C415" s="27" t="str">
        <f>TEXT(A415,"MMMM")</f>
        <v>janeiro</v>
      </c>
      <c r="D415" s="30" t="s">
        <v>32</v>
      </c>
      <c r="E415" s="30" t="s">
        <v>34</v>
      </c>
      <c r="F415" s="31">
        <v>4.673611111111111E-2</v>
      </c>
      <c r="G415" s="31">
        <v>0.42836805555555557</v>
      </c>
      <c r="H415" s="31">
        <v>0.75043981481481481</v>
      </c>
      <c r="I415" s="43">
        <f>H415-G415</f>
        <v>0.32207175925925924</v>
      </c>
      <c r="J415" s="43">
        <v>0.3</v>
      </c>
      <c r="K415" s="2">
        <f>I415-J415</f>
        <v>2.2071759259259249E-2</v>
      </c>
      <c r="L415" s="3"/>
      <c r="M415" s="4">
        <f>F415/I415</f>
        <v>0.14511086354978978</v>
      </c>
      <c r="N415" s="4">
        <f>I415/J415</f>
        <v>1.0735725308641975</v>
      </c>
    </row>
    <row r="416" spans="1:14" x14ac:dyDescent="0.3">
      <c r="A416" s="29">
        <v>46031</v>
      </c>
      <c r="B416" s="8">
        <f>YEAR(A416)</f>
        <v>2026</v>
      </c>
      <c r="C416" s="27" t="str">
        <f>TEXT(A416,"MMMM")</f>
        <v>janeiro</v>
      </c>
      <c r="D416" s="30" t="s">
        <v>28</v>
      </c>
      <c r="E416" s="30" t="s">
        <v>14</v>
      </c>
      <c r="F416" s="31">
        <v>2.4386574074074074E-2</v>
      </c>
      <c r="G416" s="31">
        <v>0.43537037037037035</v>
      </c>
      <c r="H416" s="31">
        <v>0.75557870370370372</v>
      </c>
      <c r="I416" s="43">
        <f>H416-G416</f>
        <v>0.32020833333333337</v>
      </c>
      <c r="J416" s="43">
        <v>0.3</v>
      </c>
      <c r="K416" s="2">
        <f>I416-J416</f>
        <v>2.0208333333333384E-2</v>
      </c>
      <c r="L416" s="3"/>
      <c r="M416" s="4">
        <f>F416/I416</f>
        <v>7.6158461649678294E-2</v>
      </c>
      <c r="N416" s="4">
        <f>I416/J416</f>
        <v>1.0673611111111112</v>
      </c>
    </row>
    <row r="417" spans="1:14" x14ac:dyDescent="0.3">
      <c r="A417" s="29">
        <v>46031</v>
      </c>
      <c r="B417" s="8">
        <f>YEAR(A417)</f>
        <v>2026</v>
      </c>
      <c r="C417" s="27" t="str">
        <f>TEXT(A417,"MMMM")</f>
        <v>janeiro</v>
      </c>
      <c r="D417" s="30" t="s">
        <v>29</v>
      </c>
      <c r="E417" s="30" t="s">
        <v>14</v>
      </c>
      <c r="F417" s="31">
        <v>2.6956018518518518E-2</v>
      </c>
      <c r="G417" s="31">
        <v>0.33334490740740741</v>
      </c>
      <c r="H417" s="31">
        <v>0.63717592592592598</v>
      </c>
      <c r="I417" s="43">
        <f>H417-G417</f>
        <v>0.30383101851851857</v>
      </c>
      <c r="J417" s="43">
        <v>0.3</v>
      </c>
      <c r="K417" s="2">
        <f>I417-J417</f>
        <v>3.8310185185185808E-3</v>
      </c>
      <c r="L417" s="3"/>
      <c r="M417" s="4">
        <f>F417/I417</f>
        <v>8.8720429697916256E-2</v>
      </c>
      <c r="N417" s="4">
        <f>I417/J417</f>
        <v>1.0127700617283952</v>
      </c>
    </row>
    <row r="418" spans="1:14" x14ac:dyDescent="0.3">
      <c r="A418" s="29">
        <v>46034</v>
      </c>
      <c r="B418" s="8">
        <f>YEAR(A418)</f>
        <v>2026</v>
      </c>
      <c r="C418" s="27" t="str">
        <f>TEXT(A418,"MMMM")</f>
        <v>janeiro</v>
      </c>
      <c r="D418" s="30" t="s">
        <v>47</v>
      </c>
      <c r="E418" s="30" t="s">
        <v>21</v>
      </c>
      <c r="F418" s="31">
        <v>5.1666666666666666E-2</v>
      </c>
      <c r="G418" s="31">
        <v>0.50482638888888887</v>
      </c>
      <c r="H418" s="31">
        <v>0.75090277777777781</v>
      </c>
      <c r="I418" s="43">
        <f>H418-G418</f>
        <v>0.24607638888888894</v>
      </c>
      <c r="J418" s="43">
        <v>0.25</v>
      </c>
      <c r="K418" s="2"/>
      <c r="L418" s="3">
        <f>J418-I418</f>
        <v>3.9236111111110583E-3</v>
      </c>
      <c r="M418" s="4">
        <f>F418/I418</f>
        <v>0.20996190207422036</v>
      </c>
      <c r="N418" s="4">
        <f>I418/J418</f>
        <v>0.98430555555555577</v>
      </c>
    </row>
    <row r="419" spans="1:14" x14ac:dyDescent="0.3">
      <c r="A419" s="29">
        <v>46034</v>
      </c>
      <c r="B419" s="8">
        <f>YEAR(A419)</f>
        <v>2026</v>
      </c>
      <c r="C419" s="27" t="str">
        <f>TEXT(A419,"MMMM")</f>
        <v>janeiro</v>
      </c>
      <c r="D419" s="30" t="s">
        <v>18</v>
      </c>
      <c r="E419" s="30" t="s">
        <v>14</v>
      </c>
      <c r="F419" s="31">
        <v>1.6180555555555556E-2</v>
      </c>
      <c r="G419" s="31">
        <v>0.34115740740740741</v>
      </c>
      <c r="H419" s="31">
        <v>0.65337962962962959</v>
      </c>
      <c r="I419" s="43">
        <f>H419-G419</f>
        <v>0.31222222222222218</v>
      </c>
      <c r="J419" s="43">
        <v>0.3</v>
      </c>
      <c r="K419" s="2">
        <f>I419-J419</f>
        <v>1.222222222222219E-2</v>
      </c>
      <c r="L419" s="3"/>
      <c r="M419" s="4">
        <f>F419/I419</f>
        <v>5.1823843416370113E-2</v>
      </c>
      <c r="N419" s="4">
        <f>I419/J419</f>
        <v>1.0407407407407407</v>
      </c>
    </row>
    <row r="420" spans="1:14" x14ac:dyDescent="0.3">
      <c r="A420" s="29">
        <v>46034</v>
      </c>
      <c r="B420" s="8">
        <f>YEAR(A420)</f>
        <v>2026</v>
      </c>
      <c r="C420" s="27" t="str">
        <f>TEXT(A420,"MMMM")</f>
        <v>janeiro</v>
      </c>
      <c r="D420" s="30" t="s">
        <v>19</v>
      </c>
      <c r="E420" s="30" t="s">
        <v>34</v>
      </c>
      <c r="F420" s="31">
        <v>5.6817129629629627E-2</v>
      </c>
      <c r="G420" s="31">
        <v>0.33410879629629631</v>
      </c>
      <c r="H420" s="31">
        <v>0.63496527777777778</v>
      </c>
      <c r="I420" s="43">
        <f>H420-G420</f>
        <v>0.30085648148148147</v>
      </c>
      <c r="J420" s="43">
        <v>0.3</v>
      </c>
      <c r="K420" s="2">
        <f>I420-J420</f>
        <v>8.5648148148148584E-4</v>
      </c>
      <c r="L420" s="3"/>
      <c r="M420" s="4">
        <f>F420/I420</f>
        <v>0.18885127337077787</v>
      </c>
      <c r="N420" s="4">
        <f>I420/J420</f>
        <v>1.002854938271605</v>
      </c>
    </row>
    <row r="421" spans="1:14" x14ac:dyDescent="0.3">
      <c r="A421" s="29">
        <v>46034</v>
      </c>
      <c r="B421" s="8">
        <f>YEAR(A421)</f>
        <v>2026</v>
      </c>
      <c r="C421" s="27" t="str">
        <f>TEXT(A421,"MMMM")</f>
        <v>janeiro</v>
      </c>
      <c r="D421" s="30" t="s">
        <v>69</v>
      </c>
      <c r="E421" s="30" t="s">
        <v>34</v>
      </c>
      <c r="F421" s="31">
        <v>4.3877314814814813E-2</v>
      </c>
      <c r="G421" s="31">
        <v>0.33818287037037037</v>
      </c>
      <c r="H421" s="31">
        <v>0.65432870370370366</v>
      </c>
      <c r="I421" s="43">
        <f>H421-G421</f>
        <v>0.31614583333333329</v>
      </c>
      <c r="J421" s="43">
        <v>0.3</v>
      </c>
      <c r="K421" s="2">
        <f>I421-J421</f>
        <v>1.6145833333333304E-2</v>
      </c>
      <c r="L421" s="3"/>
      <c r="M421" s="4">
        <f>F421/I421</f>
        <v>0.13878821160534507</v>
      </c>
      <c r="N421" s="4">
        <f>I421/J421</f>
        <v>1.0538194444444444</v>
      </c>
    </row>
    <row r="422" spans="1:14" x14ac:dyDescent="0.3">
      <c r="A422" s="29">
        <v>46034</v>
      </c>
      <c r="B422" s="8">
        <f>YEAR(A422)</f>
        <v>2026</v>
      </c>
      <c r="C422" s="27" t="str">
        <f>TEXT(A422,"MMMM")</f>
        <v>janeiro</v>
      </c>
      <c r="D422" s="30" t="s">
        <v>33</v>
      </c>
      <c r="E422" s="30" t="s">
        <v>34</v>
      </c>
      <c r="F422" s="31">
        <v>3.9618055555555552E-2</v>
      </c>
      <c r="G422" s="31">
        <v>0.33372685185185186</v>
      </c>
      <c r="H422" s="31">
        <v>0.66144675925925922</v>
      </c>
      <c r="I422" s="43">
        <f>H422-G422</f>
        <v>0.32771990740740736</v>
      </c>
      <c r="J422" s="43">
        <v>0.3</v>
      </c>
      <c r="K422" s="2">
        <f>I422-J422</f>
        <v>2.7719907407407374E-2</v>
      </c>
      <c r="L422" s="3"/>
      <c r="M422" s="4">
        <f>F422/I422</f>
        <v>0.12088998763906057</v>
      </c>
      <c r="N422" s="4">
        <f>I422/J422</f>
        <v>1.0923996913580245</v>
      </c>
    </row>
    <row r="423" spans="1:14" x14ac:dyDescent="0.3">
      <c r="A423" s="29">
        <v>46034</v>
      </c>
      <c r="B423" s="8">
        <f>YEAR(A423)</f>
        <v>2026</v>
      </c>
      <c r="C423" s="27" t="str">
        <f>TEXT(A423,"MMMM")</f>
        <v>janeiro</v>
      </c>
      <c r="D423" s="30" t="s">
        <v>24</v>
      </c>
      <c r="E423" s="30" t="s">
        <v>14</v>
      </c>
      <c r="F423" s="31">
        <v>2.7013888888888889E-2</v>
      </c>
      <c r="G423" s="31">
        <v>0.43967592592592591</v>
      </c>
      <c r="H423" s="31">
        <v>0.75033564814814813</v>
      </c>
      <c r="I423" s="43">
        <f>H423-G423</f>
        <v>0.31065972222222221</v>
      </c>
      <c r="J423" s="43">
        <v>0.3</v>
      </c>
      <c r="K423" s="2">
        <f>I423-J423</f>
        <v>1.0659722222222223E-2</v>
      </c>
      <c r="L423" s="3"/>
      <c r="M423" s="4">
        <f>F423/I423</f>
        <v>8.6956521739130432E-2</v>
      </c>
      <c r="N423" s="4">
        <f>I423/J423</f>
        <v>1.0355324074074075</v>
      </c>
    </row>
    <row r="424" spans="1:14" x14ac:dyDescent="0.3">
      <c r="A424" s="29">
        <v>46034</v>
      </c>
      <c r="B424" s="8">
        <f>YEAR(A424)</f>
        <v>2026</v>
      </c>
      <c r="C424" s="27" t="str">
        <f>TEXT(A424,"MMMM")</f>
        <v>janeiro</v>
      </c>
      <c r="D424" s="30" t="s">
        <v>25</v>
      </c>
      <c r="E424" s="30" t="s">
        <v>21</v>
      </c>
      <c r="F424" s="31">
        <v>4.2303240740740738E-2</v>
      </c>
      <c r="G424" s="31">
        <v>0.35204861111111113</v>
      </c>
      <c r="H424" s="31">
        <v>0.65421296296296294</v>
      </c>
      <c r="I424" s="43">
        <f>H424-G424</f>
        <v>0.30216435185185181</v>
      </c>
      <c r="J424" s="43">
        <v>0.3</v>
      </c>
      <c r="K424" s="2">
        <f>I424-J424</f>
        <v>2.1643518518518201E-3</v>
      </c>
      <c r="L424" s="3"/>
      <c r="M424" s="4">
        <f>F424/I424</f>
        <v>0.14000076607806336</v>
      </c>
      <c r="N424" s="4">
        <f>I424/J424</f>
        <v>1.0072145061728395</v>
      </c>
    </row>
    <row r="425" spans="1:14" x14ac:dyDescent="0.3">
      <c r="A425" s="29">
        <v>46034</v>
      </c>
      <c r="B425" s="8">
        <f>YEAR(A425)</f>
        <v>2026</v>
      </c>
      <c r="C425" s="27" t="str">
        <f>TEXT(A425,"MMMM")</f>
        <v>janeiro</v>
      </c>
      <c r="D425" s="30" t="s">
        <v>26</v>
      </c>
      <c r="E425" s="30" t="s">
        <v>15</v>
      </c>
      <c r="F425" s="31">
        <v>4.2870370370370371E-2</v>
      </c>
      <c r="G425" s="31">
        <v>0.33340277777777777</v>
      </c>
      <c r="H425" s="31">
        <v>0.6772569444444444</v>
      </c>
      <c r="I425" s="43">
        <f>H425-G425</f>
        <v>0.34385416666666663</v>
      </c>
      <c r="J425" s="43">
        <v>0.3</v>
      </c>
      <c r="K425" s="2">
        <f>I425-J425</f>
        <v>4.3854166666666639E-2</v>
      </c>
      <c r="L425" s="3"/>
      <c r="M425" s="4">
        <f>F425/I425</f>
        <v>0.12467602410044096</v>
      </c>
      <c r="N425" s="4">
        <f>I425/J425</f>
        <v>1.1461805555555555</v>
      </c>
    </row>
    <row r="426" spans="1:14" x14ac:dyDescent="0.3">
      <c r="A426" s="29">
        <v>46034</v>
      </c>
      <c r="B426" s="8">
        <f>YEAR(A426)</f>
        <v>2026</v>
      </c>
      <c r="C426" s="27" t="str">
        <f>TEXT(A426,"MMMM")</f>
        <v>janeiro</v>
      </c>
      <c r="D426" s="30" t="s">
        <v>27</v>
      </c>
      <c r="E426" s="30" t="s">
        <v>34</v>
      </c>
      <c r="F426" s="31">
        <v>2.8078703703703703E-2</v>
      </c>
      <c r="G426" s="31">
        <v>0.3341898148148148</v>
      </c>
      <c r="H426" s="31">
        <v>0.69285879629629632</v>
      </c>
      <c r="I426" s="43">
        <f>H426-G426</f>
        <v>0.35866898148148152</v>
      </c>
      <c r="J426" s="43">
        <v>0.3</v>
      </c>
      <c r="K426" s="2">
        <f>I426-J426</f>
        <v>5.866898148148153E-2</v>
      </c>
      <c r="L426" s="3"/>
      <c r="M426" s="4">
        <f>F426/I426</f>
        <v>7.8285843363774227E-2</v>
      </c>
      <c r="N426" s="4">
        <f>I426/J426</f>
        <v>1.1955632716049385</v>
      </c>
    </row>
    <row r="427" spans="1:14" x14ac:dyDescent="0.3">
      <c r="A427" s="29">
        <v>46034</v>
      </c>
      <c r="B427" s="8">
        <f>YEAR(A427)</f>
        <v>2026</v>
      </c>
      <c r="C427" s="27" t="str">
        <f>TEXT(A427,"MMMM")</f>
        <v>janeiro</v>
      </c>
      <c r="D427" s="30" t="s">
        <v>68</v>
      </c>
      <c r="E427" s="30" t="s">
        <v>34</v>
      </c>
      <c r="F427" s="31">
        <v>3.8657407407407404E-2</v>
      </c>
      <c r="G427" s="31">
        <v>0.47023148148148147</v>
      </c>
      <c r="H427" s="31">
        <v>0.75026620370370367</v>
      </c>
      <c r="I427" s="43">
        <f>H427-G427</f>
        <v>0.2800347222222222</v>
      </c>
      <c r="J427" s="43">
        <v>0.3</v>
      </c>
      <c r="K427" s="2"/>
      <c r="L427" s="3">
        <f>J427-I427</f>
        <v>1.996527777777779E-2</v>
      </c>
      <c r="M427" s="4">
        <f>F427/I427</f>
        <v>0.13804505063029551</v>
      </c>
      <c r="N427" s="4">
        <f>I427/J427</f>
        <v>0.93344907407407407</v>
      </c>
    </row>
    <row r="428" spans="1:14" x14ac:dyDescent="0.3">
      <c r="A428" s="29">
        <v>46034</v>
      </c>
      <c r="B428" s="8">
        <f>YEAR(A428)</f>
        <v>2026</v>
      </c>
      <c r="C428" s="27" t="str">
        <f>TEXT(A428,"MMMM")</f>
        <v>janeiro</v>
      </c>
      <c r="D428" s="30" t="s">
        <v>32</v>
      </c>
      <c r="E428" s="30" t="s">
        <v>34</v>
      </c>
      <c r="F428" s="31">
        <v>4.5127314814814815E-2</v>
      </c>
      <c r="G428" s="31">
        <v>0.45344907407407409</v>
      </c>
      <c r="H428" s="31">
        <v>0.75061342592592595</v>
      </c>
      <c r="I428" s="43">
        <f>H428-G428</f>
        <v>0.29716435185185186</v>
      </c>
      <c r="J428" s="43">
        <v>0.3</v>
      </c>
      <c r="K428" s="2"/>
      <c r="L428" s="3">
        <f>J428-I428</f>
        <v>2.8356481481481288E-3</v>
      </c>
      <c r="M428" s="4">
        <f>F428/I428</f>
        <v>0.15185978578383641</v>
      </c>
      <c r="N428" s="4">
        <f>I428/J428</f>
        <v>0.99054783950617287</v>
      </c>
    </row>
    <row r="429" spans="1:14" x14ac:dyDescent="0.3">
      <c r="A429" s="29">
        <v>46034</v>
      </c>
      <c r="B429" s="8">
        <f>YEAR(A429)</f>
        <v>2026</v>
      </c>
      <c r="C429" s="27" t="str">
        <f>TEXT(A429,"MMMM")</f>
        <v>janeiro</v>
      </c>
      <c r="D429" s="30" t="s">
        <v>30</v>
      </c>
      <c r="E429" s="30" t="s">
        <v>34</v>
      </c>
      <c r="F429" s="31">
        <v>5.6875000000000002E-2</v>
      </c>
      <c r="G429" s="31">
        <v>0.33405092592592595</v>
      </c>
      <c r="H429" s="31">
        <v>0.67054398148148153</v>
      </c>
      <c r="I429" s="43">
        <f>H429-G429</f>
        <v>0.33649305555555559</v>
      </c>
      <c r="J429" s="43">
        <v>0.3</v>
      </c>
      <c r="K429" s="2">
        <f>I429-J429</f>
        <v>3.6493055555555598E-2</v>
      </c>
      <c r="L429" s="3"/>
      <c r="M429" s="4">
        <f>F429/I429</f>
        <v>0.16902280466412134</v>
      </c>
      <c r="N429" s="4">
        <f>I429/J429</f>
        <v>1.1216435185185187</v>
      </c>
    </row>
    <row r="430" spans="1:14" x14ac:dyDescent="0.3">
      <c r="A430" s="29">
        <v>46034</v>
      </c>
      <c r="B430" s="8">
        <f>YEAR(A430)</f>
        <v>2026</v>
      </c>
      <c r="C430" s="27" t="str">
        <f>TEXT(A430,"MMMM")</f>
        <v>janeiro</v>
      </c>
      <c r="D430" s="30" t="s">
        <v>28</v>
      </c>
      <c r="E430" s="30" t="s">
        <v>14</v>
      </c>
      <c r="F430" s="31">
        <v>3.0844907407407408E-2</v>
      </c>
      <c r="G430" s="31">
        <v>0.46626157407407409</v>
      </c>
      <c r="H430" s="31">
        <v>0.75526620370370368</v>
      </c>
      <c r="I430" s="43">
        <f>H430-G430</f>
        <v>0.28900462962962958</v>
      </c>
      <c r="J430" s="43">
        <v>0.3</v>
      </c>
      <c r="K430" s="2"/>
      <c r="L430" s="3">
        <f>J430-I430</f>
        <v>1.0995370370370405E-2</v>
      </c>
      <c r="M430" s="4">
        <f>F430/I430</f>
        <v>0.10672807368842613</v>
      </c>
      <c r="N430" s="4">
        <f>I430/J430</f>
        <v>0.96334876543209869</v>
      </c>
    </row>
    <row r="431" spans="1:14" x14ac:dyDescent="0.3">
      <c r="A431" s="29">
        <v>46034</v>
      </c>
      <c r="B431" s="8">
        <f>YEAR(A431)</f>
        <v>2026</v>
      </c>
      <c r="C431" s="27" t="str">
        <f>TEXT(A431,"MMMM")</f>
        <v>janeiro</v>
      </c>
      <c r="D431" s="30" t="s">
        <v>29</v>
      </c>
      <c r="E431" s="30" t="s">
        <v>14</v>
      </c>
      <c r="F431" s="31">
        <v>2.2627314814814815E-2</v>
      </c>
      <c r="G431" s="31">
        <v>0.34472222222222221</v>
      </c>
      <c r="H431" s="31">
        <v>0.6476736111111111</v>
      </c>
      <c r="I431" s="43">
        <f>H431-G431</f>
        <v>0.3029513888888889</v>
      </c>
      <c r="J431" s="43">
        <v>0.3</v>
      </c>
      <c r="K431" s="2">
        <f>I431-J431</f>
        <v>2.9513888888889062E-3</v>
      </c>
      <c r="L431" s="3"/>
      <c r="M431" s="4">
        <f>F431/I431</f>
        <v>7.4689589302769824E-2</v>
      </c>
      <c r="N431" s="4">
        <f>I431/J431</f>
        <v>1.009837962962963</v>
      </c>
    </row>
    <row r="432" spans="1:14" x14ac:dyDescent="0.3">
      <c r="A432" s="29">
        <v>46035</v>
      </c>
      <c r="B432" s="8">
        <f>YEAR(A432)</f>
        <v>2026</v>
      </c>
      <c r="C432" s="27" t="str">
        <f>TEXT(A432,"MMMM")</f>
        <v>janeiro</v>
      </c>
      <c r="D432" s="30" t="s">
        <v>18</v>
      </c>
      <c r="E432" s="30" t="s">
        <v>14</v>
      </c>
      <c r="F432" s="31">
        <v>2.2407407407407407E-2</v>
      </c>
      <c r="G432" s="31">
        <v>0.33355324074074072</v>
      </c>
      <c r="H432" s="31">
        <v>0.64304398148148145</v>
      </c>
      <c r="I432" s="43">
        <f>H432-G432</f>
        <v>0.30949074074074073</v>
      </c>
      <c r="J432" s="43">
        <v>0.3</v>
      </c>
      <c r="K432" s="2">
        <f>I432-J432</f>
        <v>9.490740740740744E-3</v>
      </c>
      <c r="L432" s="3"/>
      <c r="M432" s="4">
        <f>F432/I432</f>
        <v>7.2400897531787592E-2</v>
      </c>
      <c r="N432" s="4">
        <f>I432/J432</f>
        <v>1.0316358024691359</v>
      </c>
    </row>
    <row r="433" spans="1:14" x14ac:dyDescent="0.3">
      <c r="A433" s="29">
        <v>46035</v>
      </c>
      <c r="B433" s="8">
        <f>YEAR(A433)</f>
        <v>2026</v>
      </c>
      <c r="C433" s="27" t="str">
        <f>TEXT(A433,"MMMM")</f>
        <v>janeiro</v>
      </c>
      <c r="D433" s="30" t="s">
        <v>19</v>
      </c>
      <c r="E433" s="30" t="s">
        <v>34</v>
      </c>
      <c r="F433" s="31">
        <v>5.1203703703703703E-2</v>
      </c>
      <c r="G433" s="31">
        <v>0.33440972222222221</v>
      </c>
      <c r="H433" s="31">
        <v>0.63521990740740741</v>
      </c>
      <c r="I433" s="43">
        <f>H433-G433</f>
        <v>0.30081018518518521</v>
      </c>
      <c r="J433" s="43">
        <v>0.3</v>
      </c>
      <c r="K433" s="2">
        <f>I433-J433</f>
        <v>8.1018518518521931E-4</v>
      </c>
      <c r="L433" s="3"/>
      <c r="M433" s="4">
        <f>F433/I433</f>
        <v>0.17021931512120045</v>
      </c>
      <c r="N433" s="4">
        <f>I433/J433</f>
        <v>1.0027006172839508</v>
      </c>
    </row>
    <row r="434" spans="1:14" x14ac:dyDescent="0.3">
      <c r="A434" s="29">
        <v>46035</v>
      </c>
      <c r="B434" s="8">
        <f>YEAR(A434)</f>
        <v>2026</v>
      </c>
      <c r="C434" s="27" t="str">
        <f>TEXT(A434,"MMMM")</f>
        <v>janeiro</v>
      </c>
      <c r="D434" s="30" t="s">
        <v>69</v>
      </c>
      <c r="E434" s="30" t="s">
        <v>34</v>
      </c>
      <c r="F434" s="31">
        <v>3.5856481481481482E-2</v>
      </c>
      <c r="G434" s="31">
        <v>0.39870370370370373</v>
      </c>
      <c r="H434" s="31">
        <v>0.63539351851851855</v>
      </c>
      <c r="I434" s="43">
        <f>H434-G434</f>
        <v>0.23668981481481483</v>
      </c>
      <c r="J434" s="43">
        <v>0.3</v>
      </c>
      <c r="K434" s="2"/>
      <c r="L434" s="3">
        <f>J434-I434</f>
        <v>6.3310185185185164E-2</v>
      </c>
      <c r="M434" s="4">
        <f>F434/I434</f>
        <v>0.15149144254278729</v>
      </c>
      <c r="N434" s="4">
        <f>I434/J434</f>
        <v>0.78896604938271608</v>
      </c>
    </row>
    <row r="435" spans="1:14" x14ac:dyDescent="0.3">
      <c r="A435" s="29">
        <v>46035</v>
      </c>
      <c r="B435" s="8">
        <f>YEAR(A435)</f>
        <v>2026</v>
      </c>
      <c r="C435" s="27" t="str">
        <f>TEXT(A435,"MMMM")</f>
        <v>janeiro</v>
      </c>
      <c r="D435" s="30" t="s">
        <v>33</v>
      </c>
      <c r="E435" s="30" t="s">
        <v>34</v>
      </c>
      <c r="F435" s="31">
        <v>3.7337962962962962E-2</v>
      </c>
      <c r="G435" s="31">
        <v>0.33372685185185186</v>
      </c>
      <c r="H435" s="31">
        <v>0.66545138888888888</v>
      </c>
      <c r="I435" s="43">
        <f>H435-G435</f>
        <v>0.33172453703703703</v>
      </c>
      <c r="J435" s="43">
        <v>0.3</v>
      </c>
      <c r="K435" s="2">
        <f>I435-J435</f>
        <v>3.1724537037037037E-2</v>
      </c>
      <c r="L435" s="3"/>
      <c r="M435" s="4">
        <f>F435/I435</f>
        <v>0.11255713338683228</v>
      </c>
      <c r="N435" s="4">
        <f>I435/J435</f>
        <v>1.1057484567901235</v>
      </c>
    </row>
    <row r="436" spans="1:14" x14ac:dyDescent="0.3">
      <c r="A436" s="29">
        <v>46035</v>
      </c>
      <c r="B436" s="8">
        <f>YEAR(A436)</f>
        <v>2026</v>
      </c>
      <c r="C436" s="27" t="str">
        <f>TEXT(A436,"MMMM")</f>
        <v>janeiro</v>
      </c>
      <c r="D436" s="30" t="s">
        <v>24</v>
      </c>
      <c r="E436" s="30" t="s">
        <v>14</v>
      </c>
      <c r="F436" s="31">
        <v>3.6874999999999998E-2</v>
      </c>
      <c r="G436" s="31">
        <v>0.4553935185185185</v>
      </c>
      <c r="H436" s="31">
        <v>0.75826388888888885</v>
      </c>
      <c r="I436" s="43">
        <f>H436-G436</f>
        <v>0.30287037037037035</v>
      </c>
      <c r="J436" s="43">
        <v>0.3</v>
      </c>
      <c r="K436" s="2">
        <f>I436-J436</f>
        <v>2.8703703703703565E-3</v>
      </c>
      <c r="L436" s="3"/>
      <c r="M436" s="4">
        <f>F436/I436</f>
        <v>0.12175175787221033</v>
      </c>
      <c r="N436" s="4">
        <f>I436/J436</f>
        <v>1.009567901234568</v>
      </c>
    </row>
    <row r="437" spans="1:14" x14ac:dyDescent="0.3">
      <c r="A437" s="29">
        <v>46035</v>
      </c>
      <c r="B437" s="8">
        <f>YEAR(A437)</f>
        <v>2026</v>
      </c>
      <c r="C437" s="27" t="str">
        <f>TEXT(A437,"MMMM")</f>
        <v>janeiro</v>
      </c>
      <c r="D437" s="30" t="s">
        <v>25</v>
      </c>
      <c r="E437" s="30" t="s">
        <v>21</v>
      </c>
      <c r="F437" s="31">
        <v>5.1249999999999997E-2</v>
      </c>
      <c r="G437" s="31">
        <v>0.33371527777777776</v>
      </c>
      <c r="H437" s="31">
        <v>0.63351851851851848</v>
      </c>
      <c r="I437" s="43">
        <f>H437-G437</f>
        <v>0.29980324074074072</v>
      </c>
      <c r="J437" s="43">
        <v>0.3</v>
      </c>
      <c r="K437" s="2"/>
      <c r="L437" s="3">
        <f>J437-I437</f>
        <v>1.9675925925927151E-4</v>
      </c>
      <c r="M437" s="4">
        <f>F437/I437</f>
        <v>0.17094545033393815</v>
      </c>
      <c r="N437" s="4">
        <f>I437/J437</f>
        <v>0.99934413580246906</v>
      </c>
    </row>
    <row r="438" spans="1:14" x14ac:dyDescent="0.3">
      <c r="A438" s="29">
        <v>46035</v>
      </c>
      <c r="B438" s="8">
        <f>YEAR(A438)</f>
        <v>2026</v>
      </c>
      <c r="C438" s="27" t="str">
        <f>TEXT(A438,"MMMM")</f>
        <v>janeiro</v>
      </c>
      <c r="D438" s="30" t="s">
        <v>26</v>
      </c>
      <c r="E438" s="30" t="s">
        <v>15</v>
      </c>
      <c r="F438" s="31">
        <v>3.6840277777777777E-2</v>
      </c>
      <c r="G438" s="31">
        <v>0.33336805555555554</v>
      </c>
      <c r="H438" s="31">
        <v>0.66032407407407412</v>
      </c>
      <c r="I438" s="43">
        <f>H438-G438</f>
        <v>0.32695601851851858</v>
      </c>
      <c r="J438" s="43">
        <v>0.3</v>
      </c>
      <c r="K438" s="2">
        <f>I438-J438</f>
        <v>2.6956018518518587E-2</v>
      </c>
      <c r="L438" s="3"/>
      <c r="M438" s="4">
        <f>F438/I438</f>
        <v>0.11267655492229811</v>
      </c>
      <c r="N438" s="4">
        <f>I438/J438</f>
        <v>1.0898533950617286</v>
      </c>
    </row>
    <row r="439" spans="1:14" x14ac:dyDescent="0.3">
      <c r="A439" s="29">
        <v>46035</v>
      </c>
      <c r="B439" s="8">
        <f>YEAR(A439)</f>
        <v>2026</v>
      </c>
      <c r="C439" s="27" t="str">
        <f>TEXT(A439,"MMMM")</f>
        <v>janeiro</v>
      </c>
      <c r="D439" s="30" t="s">
        <v>27</v>
      </c>
      <c r="E439" s="30" t="s">
        <v>34</v>
      </c>
      <c r="F439" s="31">
        <v>3.2245370370370369E-2</v>
      </c>
      <c r="G439" s="31">
        <v>0.33336805555555554</v>
      </c>
      <c r="H439" s="31">
        <v>0.66281250000000003</v>
      </c>
      <c r="I439" s="43">
        <f>H439-G439</f>
        <v>0.32944444444444448</v>
      </c>
      <c r="J439" s="43">
        <v>0.3</v>
      </c>
      <c r="K439" s="2">
        <f>I439-J439</f>
        <v>2.9444444444444495E-2</v>
      </c>
      <c r="L439" s="3"/>
      <c r="M439" s="4">
        <f>F439/I439</f>
        <v>9.787802136031476E-2</v>
      </c>
      <c r="N439" s="4">
        <f>I439/J439</f>
        <v>1.0981481481481483</v>
      </c>
    </row>
    <row r="440" spans="1:14" x14ac:dyDescent="0.3">
      <c r="A440" s="29">
        <v>46035</v>
      </c>
      <c r="B440" s="8">
        <f>YEAR(A440)</f>
        <v>2026</v>
      </c>
      <c r="C440" s="27" t="str">
        <f>TEXT(A440,"MMMM")</f>
        <v>janeiro</v>
      </c>
      <c r="D440" s="30" t="s">
        <v>68</v>
      </c>
      <c r="E440" s="30" t="s">
        <v>34</v>
      </c>
      <c r="F440" s="31">
        <v>5.1620370370370372E-2</v>
      </c>
      <c r="G440" s="31">
        <v>0.421875</v>
      </c>
      <c r="H440" s="31">
        <v>0.75016203703703699</v>
      </c>
      <c r="I440" s="43">
        <f>H440-G440</f>
        <v>0.32828703703703699</v>
      </c>
      <c r="J440" s="43">
        <v>0.3</v>
      </c>
      <c r="K440" s="2">
        <f>I440-J440</f>
        <v>2.8287037037036999E-2</v>
      </c>
      <c r="L440" s="3"/>
      <c r="M440" s="4">
        <f>F440/I440</f>
        <v>0.15724157382597662</v>
      </c>
      <c r="N440" s="4">
        <f>I440/J440</f>
        <v>1.0942901234567901</v>
      </c>
    </row>
    <row r="441" spans="1:14" x14ac:dyDescent="0.3">
      <c r="A441" s="29">
        <v>46035</v>
      </c>
      <c r="B441" s="8">
        <f>YEAR(A441)</f>
        <v>2026</v>
      </c>
      <c r="C441" s="27" t="str">
        <f>TEXT(A441,"MMMM")</f>
        <v>janeiro</v>
      </c>
      <c r="D441" s="30" t="s">
        <v>32</v>
      </c>
      <c r="E441" s="30" t="s">
        <v>34</v>
      </c>
      <c r="F441" s="31">
        <v>4.7430555555555552E-2</v>
      </c>
      <c r="G441" s="31">
        <v>0.46509259259259261</v>
      </c>
      <c r="H441" s="31">
        <v>0.75145833333333334</v>
      </c>
      <c r="I441" s="43">
        <f>H441-G441</f>
        <v>0.28636574074074073</v>
      </c>
      <c r="J441" s="43">
        <v>0.3</v>
      </c>
      <c r="K441" s="2"/>
      <c r="L441" s="3">
        <f>J441-I441</f>
        <v>1.3634259259259263E-2</v>
      </c>
      <c r="M441" s="4">
        <f>F441/I441</f>
        <v>0.1656292943173551</v>
      </c>
      <c r="N441" s="4">
        <f>I441/J441</f>
        <v>0.95455246913580249</v>
      </c>
    </row>
    <row r="442" spans="1:14" x14ac:dyDescent="0.3">
      <c r="A442" s="29">
        <v>46035</v>
      </c>
      <c r="B442" s="8">
        <f>YEAR(A442)</f>
        <v>2026</v>
      </c>
      <c r="C442" s="27" t="str">
        <f>TEXT(A442,"MMMM")</f>
        <v>janeiro</v>
      </c>
      <c r="D442" s="30" t="s">
        <v>30</v>
      </c>
      <c r="E442" s="30" t="s">
        <v>34</v>
      </c>
      <c r="F442" s="31">
        <v>5.634259259259259E-2</v>
      </c>
      <c r="G442" s="31">
        <v>0.33546296296296296</v>
      </c>
      <c r="H442" s="31">
        <v>0.63447916666666671</v>
      </c>
      <c r="I442" s="43">
        <f>H442-G442</f>
        <v>0.29901620370370374</v>
      </c>
      <c r="J442" s="43">
        <v>0.3</v>
      </c>
      <c r="K442" s="2"/>
      <c r="L442" s="3">
        <f>J442-I442</f>
        <v>9.8379629629624654E-4</v>
      </c>
      <c r="M442" s="4">
        <f>F442/I442</f>
        <v>0.18842655312560477</v>
      </c>
      <c r="N442" s="4">
        <f>I442/J442</f>
        <v>0.99672067901234584</v>
      </c>
    </row>
    <row r="443" spans="1:14" x14ac:dyDescent="0.3">
      <c r="A443" s="29">
        <v>46035</v>
      </c>
      <c r="B443" s="8">
        <f>YEAR(A443)</f>
        <v>2026</v>
      </c>
      <c r="C443" s="27" t="str">
        <f>TEXT(A443,"MMMM")</f>
        <v>janeiro</v>
      </c>
      <c r="D443" s="30" t="s">
        <v>28</v>
      </c>
      <c r="E443" s="30" t="s">
        <v>14</v>
      </c>
      <c r="F443" s="31">
        <v>3.5138888888888886E-2</v>
      </c>
      <c r="G443" s="31">
        <v>0.45857638888888891</v>
      </c>
      <c r="H443" s="31">
        <v>0.75468749999999996</v>
      </c>
      <c r="I443" s="43">
        <f>H443-G443</f>
        <v>0.29611111111111105</v>
      </c>
      <c r="J443" s="43">
        <v>0.3</v>
      </c>
      <c r="K443" s="2"/>
      <c r="L443" s="3">
        <f>J443-I443</f>
        <v>3.8888888888889417E-3</v>
      </c>
      <c r="M443" s="4">
        <f>F443/I443</f>
        <v>0.11866791744840527</v>
      </c>
      <c r="N443" s="4">
        <f>I443/J443</f>
        <v>0.98703703703703682</v>
      </c>
    </row>
    <row r="444" spans="1:14" x14ac:dyDescent="0.3">
      <c r="A444" s="29">
        <v>46035</v>
      </c>
      <c r="B444" s="8">
        <f>YEAR(A444)</f>
        <v>2026</v>
      </c>
      <c r="C444" s="27" t="str">
        <f>TEXT(A444,"MMMM")</f>
        <v>janeiro</v>
      </c>
      <c r="D444" s="30" t="s">
        <v>29</v>
      </c>
      <c r="E444" s="30" t="s">
        <v>14</v>
      </c>
      <c r="F444" s="31">
        <v>2.0462962962962964E-2</v>
      </c>
      <c r="G444" s="31">
        <v>0.33557870370370368</v>
      </c>
      <c r="H444" s="31">
        <v>0.63480324074074079</v>
      </c>
      <c r="I444" s="43">
        <f>H444-G444</f>
        <v>0.29922453703703711</v>
      </c>
      <c r="J444" s="43">
        <v>0.3</v>
      </c>
      <c r="K444" s="2"/>
      <c r="L444" s="3">
        <f>J444-I444</f>
        <v>7.7546296296288064E-4</v>
      </c>
      <c r="M444" s="4">
        <f>F444/I444</f>
        <v>6.8386647584419591E-2</v>
      </c>
      <c r="N444" s="4">
        <f>I444/J444</f>
        <v>0.9974151234567904</v>
      </c>
    </row>
    <row r="445" spans="1:14" x14ac:dyDescent="0.3">
      <c r="A445" s="29">
        <v>46036</v>
      </c>
      <c r="B445" s="8">
        <f>YEAR(A445)</f>
        <v>2026</v>
      </c>
      <c r="C445" s="27" t="str">
        <f>TEXT(A445,"MMMM")</f>
        <v>janeiro</v>
      </c>
      <c r="D445" s="30" t="s">
        <v>47</v>
      </c>
      <c r="E445" s="30" t="s">
        <v>75</v>
      </c>
      <c r="F445" s="31">
        <v>4.0150462962962964E-2</v>
      </c>
      <c r="G445" s="31">
        <v>0.50888888888888884</v>
      </c>
      <c r="H445" s="31">
        <v>0.75047453703703704</v>
      </c>
      <c r="I445" s="43">
        <f>H445-G445</f>
        <v>0.2415856481481482</v>
      </c>
      <c r="J445" s="43">
        <v>0.25</v>
      </c>
      <c r="K445" s="2"/>
      <c r="L445" s="3">
        <f>J445-I445</f>
        <v>8.4143518518517979E-3</v>
      </c>
      <c r="M445" s="4">
        <f>F445/I445</f>
        <v>0.16619556364681642</v>
      </c>
      <c r="N445" s="4">
        <f>I445/J445</f>
        <v>0.96634259259259281</v>
      </c>
    </row>
    <row r="446" spans="1:14" x14ac:dyDescent="0.3">
      <c r="A446" s="29">
        <v>46036</v>
      </c>
      <c r="B446" s="8">
        <f>YEAR(A446)</f>
        <v>2026</v>
      </c>
      <c r="C446" s="27" t="str">
        <f>TEXT(A446,"MMMM")</f>
        <v>janeiro</v>
      </c>
      <c r="D446" s="30" t="s">
        <v>18</v>
      </c>
      <c r="E446" s="30" t="s">
        <v>14</v>
      </c>
      <c r="F446" s="31">
        <v>2.9224537037037038E-2</v>
      </c>
      <c r="G446" s="31">
        <v>0.33359953703703704</v>
      </c>
      <c r="H446" s="31">
        <v>0.64269675925925929</v>
      </c>
      <c r="I446" s="43">
        <f>H446-G446</f>
        <v>0.30909722222222225</v>
      </c>
      <c r="J446" s="43">
        <v>0.3</v>
      </c>
      <c r="K446" s="2">
        <f>I446-J446</f>
        <v>9.0972222222222565E-3</v>
      </c>
      <c r="L446" s="3"/>
      <c r="M446" s="4">
        <f>F446/I446</f>
        <v>9.4548041638583089E-2</v>
      </c>
      <c r="N446" s="4">
        <f>I446/J446</f>
        <v>1.0303240740740742</v>
      </c>
    </row>
    <row r="447" spans="1:14" x14ac:dyDescent="0.3">
      <c r="A447" s="29">
        <v>46036</v>
      </c>
      <c r="B447" s="8">
        <f>YEAR(A447)</f>
        <v>2026</v>
      </c>
      <c r="C447" s="27" t="str">
        <f>TEXT(A447,"MMMM")</f>
        <v>janeiro</v>
      </c>
      <c r="D447" s="30" t="s">
        <v>19</v>
      </c>
      <c r="E447" s="30" t="s">
        <v>34</v>
      </c>
      <c r="F447" s="31">
        <v>4.9409722222222223E-2</v>
      </c>
      <c r="G447" s="31">
        <v>0.33368055555555554</v>
      </c>
      <c r="H447" s="31">
        <v>0.63467592592592592</v>
      </c>
      <c r="I447" s="43">
        <f>H447-G447</f>
        <v>0.30099537037037039</v>
      </c>
      <c r="J447" s="43">
        <v>0.3</v>
      </c>
      <c r="K447" s="2">
        <f>I447-J447</f>
        <v>9.9537037037039644E-4</v>
      </c>
      <c r="L447" s="3"/>
      <c r="M447" s="4">
        <f>F447/I447</f>
        <v>0.16415442590171497</v>
      </c>
      <c r="N447" s="4">
        <f>I447/J447</f>
        <v>1.0033179012345681</v>
      </c>
    </row>
    <row r="448" spans="1:14" x14ac:dyDescent="0.3">
      <c r="A448" s="29">
        <v>46036</v>
      </c>
      <c r="B448" s="8">
        <f>YEAR(A448)</f>
        <v>2026</v>
      </c>
      <c r="C448" s="27" t="str">
        <f>TEXT(A448,"MMMM")</f>
        <v>janeiro</v>
      </c>
      <c r="D448" s="30" t="s">
        <v>69</v>
      </c>
      <c r="E448" s="30" t="s">
        <v>34</v>
      </c>
      <c r="F448" s="31">
        <v>4.7766203703703707E-2</v>
      </c>
      <c r="G448" s="31">
        <v>0.33855324074074072</v>
      </c>
      <c r="H448" s="31">
        <v>0.64878472222222228</v>
      </c>
      <c r="I448" s="43">
        <f>H448-G448</f>
        <v>0.31023148148148155</v>
      </c>
      <c r="J448" s="43">
        <v>0.3</v>
      </c>
      <c r="K448" s="2">
        <f>I448-J448</f>
        <v>1.0231481481481564E-2</v>
      </c>
      <c r="L448" s="3"/>
      <c r="M448" s="4">
        <f>F448/I448</f>
        <v>0.15396955678256974</v>
      </c>
      <c r="N448" s="4">
        <f>I448/J448</f>
        <v>1.0341049382716052</v>
      </c>
    </row>
    <row r="449" spans="1:14" x14ac:dyDescent="0.3">
      <c r="A449" s="29">
        <v>46036</v>
      </c>
      <c r="B449" s="8">
        <f>YEAR(A449)</f>
        <v>2026</v>
      </c>
      <c r="C449" s="27" t="str">
        <f>TEXT(A449,"MMMM")</f>
        <v>janeiro</v>
      </c>
      <c r="D449" s="30" t="s">
        <v>33</v>
      </c>
      <c r="E449" s="30" t="s">
        <v>34</v>
      </c>
      <c r="F449" s="31">
        <v>3.4652777777777775E-2</v>
      </c>
      <c r="G449" s="31">
        <v>0.33333333333333331</v>
      </c>
      <c r="H449" s="31">
        <v>0.63445601851851852</v>
      </c>
      <c r="I449" s="43">
        <f>H449-G449</f>
        <v>0.3011226851851852</v>
      </c>
      <c r="J449" s="43">
        <v>0.3</v>
      </c>
      <c r="K449" s="2">
        <f>I449-J449</f>
        <v>1.1226851851852127E-3</v>
      </c>
      <c r="L449" s="3"/>
      <c r="M449" s="4">
        <f>F449/I449</f>
        <v>0.11507860245224275</v>
      </c>
      <c r="N449" s="4">
        <f>I449/J449</f>
        <v>1.0037422839506174</v>
      </c>
    </row>
    <row r="450" spans="1:14" x14ac:dyDescent="0.3">
      <c r="A450" s="29">
        <v>46036</v>
      </c>
      <c r="B450" s="8">
        <f>YEAR(A450)</f>
        <v>2026</v>
      </c>
      <c r="C450" s="27" t="str">
        <f>TEXT(A450,"MMMM")</f>
        <v>janeiro</v>
      </c>
      <c r="D450" s="30" t="s">
        <v>24</v>
      </c>
      <c r="E450" s="30" t="s">
        <v>14</v>
      </c>
      <c r="F450" s="31">
        <v>3.6238425925925924E-2</v>
      </c>
      <c r="G450" s="31">
        <v>0.41365740740740742</v>
      </c>
      <c r="H450" s="31">
        <v>0.750462962962963</v>
      </c>
      <c r="I450" s="43">
        <f>H450-G450</f>
        <v>0.33680555555555558</v>
      </c>
      <c r="J450" s="43">
        <v>0.3</v>
      </c>
      <c r="K450" s="2">
        <f>I450-J450</f>
        <v>3.6805555555555591E-2</v>
      </c>
      <c r="L450" s="3"/>
      <c r="M450" s="4">
        <f>F450/I450</f>
        <v>0.10759450171821304</v>
      </c>
      <c r="N450" s="4">
        <f>I450/J450</f>
        <v>1.1226851851851853</v>
      </c>
    </row>
    <row r="451" spans="1:14" x14ac:dyDescent="0.3">
      <c r="A451" s="29">
        <v>46036</v>
      </c>
      <c r="B451" s="8">
        <f>YEAR(A451)</f>
        <v>2026</v>
      </c>
      <c r="C451" s="27" t="str">
        <f>TEXT(A451,"MMMM")</f>
        <v>janeiro</v>
      </c>
      <c r="D451" s="30" t="s">
        <v>25</v>
      </c>
      <c r="E451" s="30" t="s">
        <v>75</v>
      </c>
      <c r="F451" s="31">
        <v>4.7384259259259258E-2</v>
      </c>
      <c r="G451" s="31">
        <v>0.33401620370370372</v>
      </c>
      <c r="H451" s="31">
        <v>0.63383101851851853</v>
      </c>
      <c r="I451" s="43">
        <f>H451-G451</f>
        <v>0.29981481481481481</v>
      </c>
      <c r="J451" s="43">
        <v>0.3</v>
      </c>
      <c r="K451" s="2"/>
      <c r="L451" s="3">
        <f>J451-I451</f>
        <v>1.8518518518517713E-4</v>
      </c>
      <c r="M451" s="4">
        <f>F451/I451</f>
        <v>0.15804508956145769</v>
      </c>
      <c r="N451" s="4">
        <f>I451/J451</f>
        <v>0.99938271604938278</v>
      </c>
    </row>
    <row r="452" spans="1:14" x14ac:dyDescent="0.3">
      <c r="A452" s="29">
        <v>46036</v>
      </c>
      <c r="B452" s="8">
        <f>YEAR(A452)</f>
        <v>2026</v>
      </c>
      <c r="C452" s="27" t="str">
        <f>TEXT(A452,"MMMM")</f>
        <v>janeiro</v>
      </c>
      <c r="D452" s="30" t="s">
        <v>26</v>
      </c>
      <c r="E452" s="30" t="s">
        <v>15</v>
      </c>
      <c r="F452" s="31">
        <v>3.9699074074074074E-2</v>
      </c>
      <c r="G452" s="31">
        <v>0.33340277777777777</v>
      </c>
      <c r="H452" s="31">
        <v>0.63489583333333333</v>
      </c>
      <c r="I452" s="43">
        <f>H452-G452</f>
        <v>0.30149305555555556</v>
      </c>
      <c r="J452" s="43">
        <v>0.3</v>
      </c>
      <c r="K452" s="2">
        <f>I452-J452</f>
        <v>1.4930555555555669E-3</v>
      </c>
      <c r="L452" s="3"/>
      <c r="M452" s="4">
        <f>F452/I452</f>
        <v>0.13167492034243158</v>
      </c>
      <c r="N452" s="4">
        <f>I452/J452</f>
        <v>1.0049768518518518</v>
      </c>
    </row>
    <row r="453" spans="1:14" x14ac:dyDescent="0.3">
      <c r="A453" s="29">
        <v>46036</v>
      </c>
      <c r="B453" s="8">
        <f>YEAR(A453)</f>
        <v>2026</v>
      </c>
      <c r="C453" s="27" t="str">
        <f>TEXT(A453,"MMMM")</f>
        <v>janeiro</v>
      </c>
      <c r="D453" s="30" t="s">
        <v>27</v>
      </c>
      <c r="E453" s="30" t="s">
        <v>34</v>
      </c>
      <c r="F453" s="31">
        <v>3.3773148148148149E-2</v>
      </c>
      <c r="G453" s="31">
        <v>0.33378472222222222</v>
      </c>
      <c r="H453" s="31">
        <v>0.63383101851851853</v>
      </c>
      <c r="I453" s="43">
        <f>H453-G453</f>
        <v>0.30004629629629631</v>
      </c>
      <c r="J453" s="43">
        <v>0.3</v>
      </c>
      <c r="K453" s="2">
        <f>I453-J453</f>
        <v>4.6296296296322037E-5</v>
      </c>
      <c r="L453" s="3"/>
      <c r="M453" s="4">
        <f>F453/I453</f>
        <v>0.11255979015584015</v>
      </c>
      <c r="N453" s="4">
        <f>I453/J453</f>
        <v>1.0001543209876544</v>
      </c>
    </row>
    <row r="454" spans="1:14" x14ac:dyDescent="0.3">
      <c r="A454" s="29">
        <v>46036</v>
      </c>
      <c r="B454" s="8">
        <f>YEAR(A454)</f>
        <v>2026</v>
      </c>
      <c r="C454" s="27" t="str">
        <f>TEXT(A454,"MMMM")</f>
        <v>janeiro</v>
      </c>
      <c r="D454" s="30" t="s">
        <v>68</v>
      </c>
      <c r="E454" s="30" t="s">
        <v>34</v>
      </c>
      <c r="F454" s="31">
        <v>4.8726851851851855E-2</v>
      </c>
      <c r="G454" s="31">
        <v>0.45</v>
      </c>
      <c r="H454" s="31">
        <v>0.75043981481481481</v>
      </c>
      <c r="I454" s="43">
        <f>H454-G454</f>
        <v>0.3004398148148148</v>
      </c>
      <c r="J454" s="43">
        <v>0.3</v>
      </c>
      <c r="K454" s="2">
        <f>I454-J454</f>
        <v>4.3981481481480955E-4</v>
      </c>
      <c r="L454" s="3"/>
      <c r="M454" s="4">
        <f>F454/I454</f>
        <v>0.16218506818707143</v>
      </c>
      <c r="N454" s="4">
        <f>I454/J454</f>
        <v>1.0014660493827161</v>
      </c>
    </row>
    <row r="455" spans="1:14" x14ac:dyDescent="0.3">
      <c r="A455" s="29">
        <v>46036</v>
      </c>
      <c r="B455" s="8">
        <f>YEAR(A455)</f>
        <v>2026</v>
      </c>
      <c r="C455" s="27" t="str">
        <f>TEXT(A455,"MMMM")</f>
        <v>janeiro</v>
      </c>
      <c r="D455" s="30" t="s">
        <v>32</v>
      </c>
      <c r="E455" s="30" t="s">
        <v>34</v>
      </c>
      <c r="F455" s="31">
        <v>4.5266203703703704E-2</v>
      </c>
      <c r="G455" s="31">
        <v>0.44195601851851851</v>
      </c>
      <c r="H455" s="31">
        <v>0.7502199074074074</v>
      </c>
      <c r="I455" s="43">
        <f>H455-G455</f>
        <v>0.30826388888888889</v>
      </c>
      <c r="J455" s="43">
        <v>0.3</v>
      </c>
      <c r="K455" s="2">
        <f>I455-J455</f>
        <v>8.2638888888889039E-3</v>
      </c>
      <c r="L455" s="3"/>
      <c r="M455" s="4">
        <f>F455/I455</f>
        <v>0.14684238191784937</v>
      </c>
      <c r="N455" s="4">
        <f>I455/J455</f>
        <v>1.0275462962962965</v>
      </c>
    </row>
    <row r="456" spans="1:14" x14ac:dyDescent="0.3">
      <c r="A456" s="29">
        <v>46036</v>
      </c>
      <c r="B456" s="8">
        <f>YEAR(A456)</f>
        <v>2026</v>
      </c>
      <c r="C456" s="27" t="str">
        <f>TEXT(A456,"MMMM")</f>
        <v>janeiro</v>
      </c>
      <c r="D456" s="30" t="s">
        <v>30</v>
      </c>
      <c r="E456" s="30" t="s">
        <v>34</v>
      </c>
      <c r="F456" s="31">
        <v>5.3310185185185183E-2</v>
      </c>
      <c r="G456" s="31">
        <v>0.34260416666666665</v>
      </c>
      <c r="H456" s="31">
        <v>0.63377314814814811</v>
      </c>
      <c r="I456" s="43">
        <f>H456-G456</f>
        <v>0.29116898148148146</v>
      </c>
      <c r="J456" s="43">
        <v>0.3</v>
      </c>
      <c r="K456" s="2"/>
      <c r="L456" s="3">
        <f>J456-I456</f>
        <v>8.8310185185185297E-3</v>
      </c>
      <c r="M456" s="4">
        <f>F456/I456</f>
        <v>0.18309019358429066</v>
      </c>
      <c r="N456" s="4">
        <f>I456/J456</f>
        <v>0.97056327160493827</v>
      </c>
    </row>
    <row r="457" spans="1:14" x14ac:dyDescent="0.3">
      <c r="A457" s="29">
        <v>46036</v>
      </c>
      <c r="B457" s="8">
        <f>YEAR(A457)</f>
        <v>2026</v>
      </c>
      <c r="C457" s="27" t="str">
        <f>TEXT(A457,"MMMM")</f>
        <v>janeiro</v>
      </c>
      <c r="D457" s="30" t="s">
        <v>28</v>
      </c>
      <c r="E457" s="30" t="s">
        <v>14</v>
      </c>
      <c r="F457" s="31">
        <v>3.4421296296296297E-2</v>
      </c>
      <c r="G457" s="31">
        <v>0.44998842592592592</v>
      </c>
      <c r="H457" s="31">
        <v>0.75328703703703703</v>
      </c>
      <c r="I457" s="43">
        <f>H457-G457</f>
        <v>0.30329861111111112</v>
      </c>
      <c r="J457" s="43">
        <v>0.3</v>
      </c>
      <c r="K457" s="2">
        <f>I457-J457</f>
        <v>3.2986111111111271E-3</v>
      </c>
      <c r="L457" s="3"/>
      <c r="M457" s="4">
        <f>F457/I457</f>
        <v>0.11348979202442282</v>
      </c>
      <c r="N457" s="4">
        <f>I457/J457</f>
        <v>1.0109953703703705</v>
      </c>
    </row>
    <row r="458" spans="1:14" x14ac:dyDescent="0.3">
      <c r="A458" s="29">
        <v>46036</v>
      </c>
      <c r="B458" s="8">
        <f>YEAR(A458)</f>
        <v>2026</v>
      </c>
      <c r="C458" s="27" t="str">
        <f>TEXT(A458,"MMMM")</f>
        <v>janeiro</v>
      </c>
      <c r="D458" s="30" t="s">
        <v>29</v>
      </c>
      <c r="E458" s="30" t="s">
        <v>14</v>
      </c>
      <c r="F458" s="31">
        <v>3.0219907407407407E-2</v>
      </c>
      <c r="G458" s="31">
        <v>0.3976851851851852</v>
      </c>
      <c r="H458" s="31">
        <v>0.64553240740740736</v>
      </c>
      <c r="I458" s="43">
        <f>H458-G458</f>
        <v>0.24784722222222216</v>
      </c>
      <c r="J458" s="43">
        <v>0.3</v>
      </c>
      <c r="K458" s="2"/>
      <c r="L458" s="3">
        <f>J458-I458</f>
        <v>5.2152777777777826E-2</v>
      </c>
      <c r="M458" s="4">
        <f>F458/I458</f>
        <v>0.12192957878023726</v>
      </c>
      <c r="N458" s="4">
        <f>I458/J458</f>
        <v>0.82615740740740728</v>
      </c>
    </row>
    <row r="459" spans="1:14" x14ac:dyDescent="0.3">
      <c r="A459" s="29">
        <v>46037</v>
      </c>
      <c r="B459" s="8">
        <f>YEAR(A459)</f>
        <v>2026</v>
      </c>
      <c r="C459" s="27" t="str">
        <f>TEXT(A459,"MMMM")</f>
        <v>janeiro</v>
      </c>
      <c r="D459" s="30" t="s">
        <v>47</v>
      </c>
      <c r="E459" s="30" t="s">
        <v>21</v>
      </c>
      <c r="F459" s="31">
        <v>3.9884259259259258E-2</v>
      </c>
      <c r="G459" s="31">
        <v>0.52593749999999995</v>
      </c>
      <c r="H459" s="31">
        <v>0.75027777777777782</v>
      </c>
      <c r="I459" s="43">
        <f>H459-G459</f>
        <v>0.22434027777777787</v>
      </c>
      <c r="J459" s="43">
        <v>0.25</v>
      </c>
      <c r="K459" s="2"/>
      <c r="L459" s="3">
        <f>J459-I459</f>
        <v>2.5659722222222126E-2</v>
      </c>
      <c r="M459" s="4">
        <f>F459/I459</f>
        <v>0.177784656657896</v>
      </c>
      <c r="N459" s="4">
        <f>I459/J459</f>
        <v>0.8973611111111115</v>
      </c>
    </row>
    <row r="460" spans="1:14" x14ac:dyDescent="0.3">
      <c r="A460" s="29">
        <v>46037</v>
      </c>
      <c r="B460" s="8">
        <f>YEAR(A460)</f>
        <v>2026</v>
      </c>
      <c r="C460" s="27" t="str">
        <f>TEXT(A460,"MMMM")</f>
        <v>janeiro</v>
      </c>
      <c r="D460" s="30" t="s">
        <v>18</v>
      </c>
      <c r="E460" s="30" t="s">
        <v>14</v>
      </c>
      <c r="F460" s="31">
        <v>1.7754629629629631E-2</v>
      </c>
      <c r="G460" s="31">
        <v>0.33369212962962963</v>
      </c>
      <c r="H460" s="31">
        <v>0.6438194444444445</v>
      </c>
      <c r="I460" s="43">
        <f>H460-G460</f>
        <v>0.31012731481481487</v>
      </c>
      <c r="J460" s="43">
        <v>0.3</v>
      </c>
      <c r="K460" s="2">
        <f>I460-J460</f>
        <v>1.0127314814814881E-2</v>
      </c>
      <c r="L460" s="3"/>
      <c r="M460" s="4">
        <f>F460/I460</f>
        <v>5.7249486844560549E-2</v>
      </c>
      <c r="N460" s="4">
        <f>I460/J460</f>
        <v>1.0337577160493829</v>
      </c>
    </row>
    <row r="461" spans="1:14" x14ac:dyDescent="0.3">
      <c r="A461" s="29">
        <v>46037</v>
      </c>
      <c r="B461" s="8">
        <f>YEAR(A461)</f>
        <v>2026</v>
      </c>
      <c r="C461" s="27" t="str">
        <f>TEXT(A461,"MMMM")</f>
        <v>janeiro</v>
      </c>
      <c r="D461" s="30" t="s">
        <v>19</v>
      </c>
      <c r="E461" s="30" t="s">
        <v>34</v>
      </c>
      <c r="F461" s="31">
        <v>4.9641203703703701E-2</v>
      </c>
      <c r="G461" s="31">
        <v>0.33534722222222224</v>
      </c>
      <c r="H461" s="31">
        <v>0.63394675925925925</v>
      </c>
      <c r="I461" s="43">
        <f>H461-G461</f>
        <v>0.29859953703703701</v>
      </c>
      <c r="J461" s="43">
        <v>0.3</v>
      </c>
      <c r="K461" s="2"/>
      <c r="L461" s="3">
        <f>J461-I461</f>
        <v>1.4004629629629783E-3</v>
      </c>
      <c r="M461" s="4">
        <f>F461/I461</f>
        <v>0.16624675375014536</v>
      </c>
      <c r="N461" s="4">
        <f>I461/J461</f>
        <v>0.99533179012345674</v>
      </c>
    </row>
    <row r="462" spans="1:14" x14ac:dyDescent="0.3">
      <c r="A462" s="29">
        <v>46037</v>
      </c>
      <c r="B462" s="8">
        <f>YEAR(A462)</f>
        <v>2026</v>
      </c>
      <c r="C462" s="27" t="str">
        <f>TEXT(A462,"MMMM")</f>
        <v>janeiro</v>
      </c>
      <c r="D462" s="30" t="s">
        <v>33</v>
      </c>
      <c r="E462" s="30" t="s">
        <v>34</v>
      </c>
      <c r="F462" s="31">
        <v>2.7025462962962963E-2</v>
      </c>
      <c r="G462" s="31">
        <v>0.33333333333333331</v>
      </c>
      <c r="H462" s="31">
        <v>0.58403935185185185</v>
      </c>
      <c r="I462" s="43">
        <f>H462-G462</f>
        <v>0.25070601851851854</v>
      </c>
      <c r="J462" s="43">
        <v>0.3</v>
      </c>
      <c r="K462" s="2"/>
      <c r="L462" s="3">
        <f>J462-I462</f>
        <v>4.9293981481481453E-2</v>
      </c>
      <c r="M462" s="4">
        <f>F462/I462</f>
        <v>0.10779742394164626</v>
      </c>
      <c r="N462" s="4">
        <f>I462/J462</f>
        <v>0.83568672839506186</v>
      </c>
    </row>
    <row r="463" spans="1:14" x14ac:dyDescent="0.3">
      <c r="A463" s="29">
        <v>46037</v>
      </c>
      <c r="B463" s="8">
        <f>YEAR(A463)</f>
        <v>2026</v>
      </c>
      <c r="C463" s="27" t="str">
        <f>TEXT(A463,"MMMM")</f>
        <v>janeiro</v>
      </c>
      <c r="D463" s="30" t="s">
        <v>24</v>
      </c>
      <c r="E463" s="30" t="s">
        <v>14</v>
      </c>
      <c r="F463" s="31">
        <v>3.605324074074074E-2</v>
      </c>
      <c r="G463" s="31">
        <v>0.42246527777777776</v>
      </c>
      <c r="H463" s="31">
        <v>0.7547800925925926</v>
      </c>
      <c r="I463" s="43">
        <f>H463-G463</f>
        <v>0.33231481481481484</v>
      </c>
      <c r="J463" s="43">
        <v>0.3</v>
      </c>
      <c r="K463" s="2">
        <f>I463-J463</f>
        <v>3.2314814814814852E-2</v>
      </c>
      <c r="L463" s="3"/>
      <c r="M463" s="4">
        <f>F463/I463</f>
        <v>0.10849122318194482</v>
      </c>
      <c r="N463" s="4">
        <f>I463/J463</f>
        <v>1.1077160493827163</v>
      </c>
    </row>
    <row r="464" spans="1:14" x14ac:dyDescent="0.3">
      <c r="A464" s="29">
        <v>46037</v>
      </c>
      <c r="B464" s="8">
        <f>YEAR(A464)</f>
        <v>2026</v>
      </c>
      <c r="C464" s="27" t="str">
        <f>TEXT(A464,"MMMM")</f>
        <v>janeiro</v>
      </c>
      <c r="D464" s="30" t="s">
        <v>26</v>
      </c>
      <c r="E464" s="30" t="s">
        <v>15</v>
      </c>
      <c r="F464" s="31">
        <v>4.715277777777778E-2</v>
      </c>
      <c r="G464" s="31">
        <v>0.33334490740740741</v>
      </c>
      <c r="H464" s="31">
        <v>0.64131944444444444</v>
      </c>
      <c r="I464" s="43">
        <f>H464-G464</f>
        <v>0.30797453703703703</v>
      </c>
      <c r="J464" s="43">
        <v>0.3</v>
      </c>
      <c r="K464" s="2">
        <f>I464-J464</f>
        <v>7.9745370370370439E-3</v>
      </c>
      <c r="L464" s="3"/>
      <c r="M464" s="4">
        <f>F464/I464</f>
        <v>0.15310609192378519</v>
      </c>
      <c r="N464" s="4">
        <f>I464/J464</f>
        <v>1.0265817901234568</v>
      </c>
    </row>
    <row r="465" spans="1:14" x14ac:dyDescent="0.3">
      <c r="A465" s="29">
        <v>46037</v>
      </c>
      <c r="B465" s="8">
        <f>YEAR(A465)</f>
        <v>2026</v>
      </c>
      <c r="C465" s="27" t="str">
        <f>TEXT(A465,"MMMM")</f>
        <v>janeiro</v>
      </c>
      <c r="D465" s="30" t="s">
        <v>27</v>
      </c>
      <c r="E465" s="30" t="s">
        <v>34</v>
      </c>
      <c r="F465" s="31">
        <v>3.4270833333333334E-2</v>
      </c>
      <c r="G465" s="31">
        <v>0.33373842592592595</v>
      </c>
      <c r="H465" s="31">
        <v>0.64446759259259256</v>
      </c>
      <c r="I465" s="43">
        <f>H465-G465</f>
        <v>0.31072916666666661</v>
      </c>
      <c r="J465" s="43">
        <v>0.3</v>
      </c>
      <c r="K465" s="2">
        <f>I465-J465</f>
        <v>1.0729166666666623E-2</v>
      </c>
      <c r="L465" s="3"/>
      <c r="M465" s="4">
        <f>F465/I465</f>
        <v>0.11029165269862556</v>
      </c>
      <c r="N465" s="4">
        <f>I465/J465</f>
        <v>1.0357638888888887</v>
      </c>
    </row>
    <row r="466" spans="1:14" x14ac:dyDescent="0.3">
      <c r="A466" s="29">
        <v>46037</v>
      </c>
      <c r="B466" s="8">
        <f>YEAR(A466)</f>
        <v>2026</v>
      </c>
      <c r="C466" s="27" t="str">
        <f>TEXT(A466,"MMMM")</f>
        <v>janeiro</v>
      </c>
      <c r="D466" s="30" t="s">
        <v>68</v>
      </c>
      <c r="E466" s="30" t="s">
        <v>34</v>
      </c>
      <c r="F466" s="31">
        <v>4.5023148148148145E-2</v>
      </c>
      <c r="G466" s="31">
        <v>0.4551736111111111</v>
      </c>
      <c r="H466" s="31">
        <v>0.75037037037037035</v>
      </c>
      <c r="I466" s="43">
        <f>H466-G466</f>
        <v>0.29519675925925926</v>
      </c>
      <c r="J466" s="43">
        <v>0.3</v>
      </c>
      <c r="K466" s="2"/>
      <c r="L466" s="3">
        <f>J466-I466</f>
        <v>4.8032407407407329E-3</v>
      </c>
      <c r="M466" s="4">
        <f>F466/I466</f>
        <v>0.15251911389923545</v>
      </c>
      <c r="N466" s="4">
        <f>I466/J466</f>
        <v>0.98398919753086422</v>
      </c>
    </row>
    <row r="467" spans="1:14" x14ac:dyDescent="0.3">
      <c r="A467" s="29">
        <v>46037</v>
      </c>
      <c r="B467" s="8">
        <f>YEAR(A467)</f>
        <v>2026</v>
      </c>
      <c r="C467" s="27" t="str">
        <f>TEXT(A467,"MMMM")</f>
        <v>janeiro</v>
      </c>
      <c r="D467" s="30" t="s">
        <v>32</v>
      </c>
      <c r="E467" s="30" t="s">
        <v>34</v>
      </c>
      <c r="F467" s="31">
        <v>4.417824074074074E-2</v>
      </c>
      <c r="G467" s="31">
        <v>0.45314814814814813</v>
      </c>
      <c r="H467" s="31">
        <v>0.75031250000000005</v>
      </c>
      <c r="I467" s="43">
        <f>H467-G467</f>
        <v>0.29716435185185192</v>
      </c>
      <c r="J467" s="43">
        <v>0.3</v>
      </c>
      <c r="K467" s="2"/>
      <c r="L467" s="3">
        <f>J467-I467</f>
        <v>2.8356481481480733E-3</v>
      </c>
      <c r="M467" s="4">
        <f>F467/I467</f>
        <v>0.14866601752677699</v>
      </c>
      <c r="N467" s="4">
        <f>I467/J467</f>
        <v>0.99054783950617309</v>
      </c>
    </row>
    <row r="468" spans="1:14" x14ac:dyDescent="0.3">
      <c r="A468" s="29">
        <v>46037</v>
      </c>
      <c r="B468" s="8">
        <f>YEAR(A468)</f>
        <v>2026</v>
      </c>
      <c r="C468" s="27" t="str">
        <f>TEXT(A468,"MMMM")</f>
        <v>janeiro</v>
      </c>
      <c r="D468" s="30" t="s">
        <v>30</v>
      </c>
      <c r="E468" s="30" t="s">
        <v>34</v>
      </c>
      <c r="F468" s="31">
        <v>5.3564814814814815E-2</v>
      </c>
      <c r="G468" s="31">
        <v>0.3346412037037037</v>
      </c>
      <c r="H468" s="31">
        <v>0.63569444444444445</v>
      </c>
      <c r="I468" s="43">
        <f>H468-G468</f>
        <v>0.30105324074074075</v>
      </c>
      <c r="J468" s="43">
        <v>0.3</v>
      </c>
      <c r="K468" s="2">
        <f>I468-J468</f>
        <v>1.0532407407407574E-3</v>
      </c>
      <c r="L468" s="3"/>
      <c r="M468" s="4">
        <f>F468/I468</f>
        <v>0.17792472415516511</v>
      </c>
      <c r="N468" s="4">
        <f>I468/J468</f>
        <v>1.0035108024691359</v>
      </c>
    </row>
    <row r="469" spans="1:14" x14ac:dyDescent="0.3">
      <c r="A469" s="29">
        <v>46037</v>
      </c>
      <c r="B469" s="8">
        <f>YEAR(A469)</f>
        <v>2026</v>
      </c>
      <c r="C469" s="27" t="str">
        <f>TEXT(A469,"MMMM")</f>
        <v>janeiro</v>
      </c>
      <c r="D469" s="30" t="s">
        <v>28</v>
      </c>
      <c r="E469" s="30" t="s">
        <v>14</v>
      </c>
      <c r="F469" s="31">
        <v>3.0393518518518518E-2</v>
      </c>
      <c r="G469" s="31">
        <v>0.45575231481481482</v>
      </c>
      <c r="H469" s="31">
        <v>0.75464120370370369</v>
      </c>
      <c r="I469" s="43">
        <f>H469-G469</f>
        <v>0.29888888888888887</v>
      </c>
      <c r="J469" s="43">
        <v>0.3</v>
      </c>
      <c r="K469" s="2"/>
      <c r="L469" s="3">
        <f>J469-I469</f>
        <v>1.1111111111111183E-3</v>
      </c>
      <c r="M469" s="4">
        <f>F469/I469</f>
        <v>0.10168835192069393</v>
      </c>
      <c r="N469" s="4">
        <f>I469/J469</f>
        <v>0.99629629629629624</v>
      </c>
    </row>
    <row r="470" spans="1:14" x14ac:dyDescent="0.3">
      <c r="A470" s="29">
        <v>46037</v>
      </c>
      <c r="B470" s="8">
        <f>YEAR(A470)</f>
        <v>2026</v>
      </c>
      <c r="C470" s="27" t="str">
        <f>TEXT(A470,"MMMM")</f>
        <v>janeiro</v>
      </c>
      <c r="D470" s="30" t="s">
        <v>29</v>
      </c>
      <c r="E470" s="30" t="s">
        <v>14</v>
      </c>
      <c r="F470" s="31">
        <v>1.3287037037037036E-2</v>
      </c>
      <c r="G470" s="31">
        <v>0.47413194444444445</v>
      </c>
      <c r="H470" s="31">
        <v>0.64460648148148147</v>
      </c>
      <c r="I470" s="43">
        <f>H470-G470</f>
        <v>0.17047453703703702</v>
      </c>
      <c r="J470" s="43">
        <v>0.3</v>
      </c>
      <c r="K470" s="2"/>
      <c r="L470" s="3">
        <f>J470-I470</f>
        <v>0.12952546296296297</v>
      </c>
      <c r="M470" s="4">
        <f>F470/I470</f>
        <v>7.7941475999728435E-2</v>
      </c>
      <c r="N470" s="4">
        <f>I470/J470</f>
        <v>0.56824845679012348</v>
      </c>
    </row>
    <row r="471" spans="1:14" x14ac:dyDescent="0.3">
      <c r="A471" s="29">
        <v>46038</v>
      </c>
      <c r="B471" s="8">
        <f>YEAR(A471)</f>
        <v>2026</v>
      </c>
      <c r="C471" s="27" t="str">
        <f>TEXT(A471,"MMMM")</f>
        <v>janeiro</v>
      </c>
      <c r="D471" s="30" t="s">
        <v>18</v>
      </c>
      <c r="E471" s="30" t="s">
        <v>14</v>
      </c>
      <c r="F471" s="31">
        <v>2.3773148148148147E-2</v>
      </c>
      <c r="G471" s="31">
        <v>0.33887731481481481</v>
      </c>
      <c r="H471" s="31">
        <v>0.64324074074074078</v>
      </c>
      <c r="I471" s="43">
        <f>H471-G471</f>
        <v>0.30436342592592597</v>
      </c>
      <c r="J471" s="43">
        <v>0.3</v>
      </c>
      <c r="K471" s="2">
        <f>I471-J471</f>
        <v>4.3634259259259789E-3</v>
      </c>
      <c r="L471" s="3"/>
      <c r="M471" s="4">
        <f>F471/I471</f>
        <v>7.8107768947028158E-2</v>
      </c>
      <c r="N471" s="4">
        <f>I471/J471</f>
        <v>1.01454475308642</v>
      </c>
    </row>
    <row r="472" spans="1:14" x14ac:dyDescent="0.3">
      <c r="A472" s="29">
        <v>46038</v>
      </c>
      <c r="B472" s="8">
        <f>YEAR(A472)</f>
        <v>2026</v>
      </c>
      <c r="C472" s="27" t="str">
        <f>TEXT(A472,"MMMM")</f>
        <v>janeiro</v>
      </c>
      <c r="D472" s="30" t="s">
        <v>19</v>
      </c>
      <c r="E472" s="30" t="s">
        <v>34</v>
      </c>
      <c r="F472" s="31">
        <v>5.1909722222222225E-2</v>
      </c>
      <c r="G472" s="31">
        <v>0.33378472222222222</v>
      </c>
      <c r="H472" s="31">
        <v>0.63490740740740736</v>
      </c>
      <c r="I472" s="43">
        <f>H472-G472</f>
        <v>0.30112268518518515</v>
      </c>
      <c r="J472" s="43">
        <v>0.3</v>
      </c>
      <c r="K472" s="2">
        <f>I472-J472</f>
        <v>1.1226851851851571E-3</v>
      </c>
      <c r="L472" s="3"/>
      <c r="M472" s="4">
        <f>F472/I472</f>
        <v>0.17238728523657612</v>
      </c>
      <c r="N472" s="4">
        <f>I472/J472</f>
        <v>1.0037422839506172</v>
      </c>
    </row>
    <row r="473" spans="1:14" x14ac:dyDescent="0.3">
      <c r="A473" s="29">
        <v>46038</v>
      </c>
      <c r="B473" s="8">
        <f>YEAR(A473)</f>
        <v>2026</v>
      </c>
      <c r="C473" s="27" t="str">
        <f>TEXT(A473,"MMMM")</f>
        <v>janeiro</v>
      </c>
      <c r="D473" s="30" t="s">
        <v>69</v>
      </c>
      <c r="E473" s="30" t="s">
        <v>34</v>
      </c>
      <c r="F473" s="31">
        <v>5.9050925925925923E-2</v>
      </c>
      <c r="G473" s="31">
        <v>0.33709490740740738</v>
      </c>
      <c r="H473" s="31">
        <v>0.63479166666666664</v>
      </c>
      <c r="I473" s="43">
        <f>H473-G473</f>
        <v>0.29769675925925926</v>
      </c>
      <c r="J473" s="43">
        <v>0.3</v>
      </c>
      <c r="K473" s="2"/>
      <c r="L473" s="3">
        <f>J473-I473</f>
        <v>2.3032407407407307E-3</v>
      </c>
      <c r="M473" s="4">
        <f>F473/I473</f>
        <v>0.19835931728937442</v>
      </c>
      <c r="N473" s="4">
        <f>I473/J473</f>
        <v>0.99232253086419753</v>
      </c>
    </row>
    <row r="474" spans="1:14" x14ac:dyDescent="0.3">
      <c r="A474" s="29">
        <v>46038</v>
      </c>
      <c r="B474" s="8">
        <f>YEAR(A474)</f>
        <v>2026</v>
      </c>
      <c r="C474" s="27" t="str">
        <f>TEXT(A474,"MMMM")</f>
        <v>janeiro</v>
      </c>
      <c r="D474" s="30" t="s">
        <v>33</v>
      </c>
      <c r="E474" s="30" t="s">
        <v>34</v>
      </c>
      <c r="F474" s="31">
        <v>6.0752314814814815E-2</v>
      </c>
      <c r="G474" s="31">
        <v>0.33333333333333331</v>
      </c>
      <c r="H474" s="31">
        <v>0.63386574074074076</v>
      </c>
      <c r="I474" s="43">
        <f>H474-G474</f>
        <v>0.30053240740740744</v>
      </c>
      <c r="J474" s="43">
        <v>0.3</v>
      </c>
      <c r="K474" s="2">
        <f>I474-J474</f>
        <v>5.3240740740745363E-4</v>
      </c>
      <c r="L474" s="3"/>
      <c r="M474" s="4">
        <f>F474/I474</f>
        <v>0.20214896402988522</v>
      </c>
      <c r="N474" s="4">
        <f>I474/J474</f>
        <v>1.0017746913580248</v>
      </c>
    </row>
    <row r="475" spans="1:14" x14ac:dyDescent="0.3">
      <c r="A475" s="29">
        <v>46038</v>
      </c>
      <c r="B475" s="8">
        <f>YEAR(A475)</f>
        <v>2026</v>
      </c>
      <c r="C475" s="27" t="str">
        <f>TEXT(A475,"MMMM")</f>
        <v>janeiro</v>
      </c>
      <c r="D475" s="30" t="s">
        <v>24</v>
      </c>
      <c r="E475" s="30" t="s">
        <v>14</v>
      </c>
      <c r="F475" s="31">
        <v>2.6400462962962962E-2</v>
      </c>
      <c r="G475" s="31">
        <v>0.40961805555555558</v>
      </c>
      <c r="H475" s="31">
        <v>0.7565277777777778</v>
      </c>
      <c r="I475" s="43">
        <f>H475-G475</f>
        <v>0.34690972222222222</v>
      </c>
      <c r="J475" s="43">
        <v>0.3</v>
      </c>
      <c r="K475" s="2">
        <f>I475-J475</f>
        <v>4.6909722222222228E-2</v>
      </c>
      <c r="L475" s="3"/>
      <c r="M475" s="4">
        <f>F475/I475</f>
        <v>7.6101824975811569E-2</v>
      </c>
      <c r="N475" s="4">
        <f>I475/J475</f>
        <v>1.1563657407407408</v>
      </c>
    </row>
    <row r="476" spans="1:14" x14ac:dyDescent="0.3">
      <c r="A476" s="29">
        <v>46038</v>
      </c>
      <c r="B476" s="8">
        <f>YEAR(A476)</f>
        <v>2026</v>
      </c>
      <c r="C476" s="27" t="str">
        <f>TEXT(A476,"MMMM")</f>
        <v>janeiro</v>
      </c>
      <c r="D476" s="30" t="s">
        <v>26</v>
      </c>
      <c r="E476" s="30" t="s">
        <v>15</v>
      </c>
      <c r="F476" s="31">
        <v>7.137731481481481E-2</v>
      </c>
      <c r="G476" s="31">
        <v>0.35064814814814815</v>
      </c>
      <c r="H476" s="31">
        <v>0.63643518518518516</v>
      </c>
      <c r="I476" s="43">
        <f>H476-G476</f>
        <v>0.28578703703703701</v>
      </c>
      <c r="J476" s="43">
        <v>0.3</v>
      </c>
      <c r="K476" s="2"/>
      <c r="L476" s="3">
        <f>J476-I476</f>
        <v>1.4212962962962983E-2</v>
      </c>
      <c r="M476" s="4">
        <f>F476/I476</f>
        <v>0.24975700631783573</v>
      </c>
      <c r="N476" s="4">
        <f>I476/J476</f>
        <v>0.95262345679012339</v>
      </c>
    </row>
    <row r="477" spans="1:14" x14ac:dyDescent="0.3">
      <c r="A477" s="29">
        <v>46038</v>
      </c>
      <c r="B477" s="8">
        <f>YEAR(A477)</f>
        <v>2026</v>
      </c>
      <c r="C477" s="27" t="str">
        <f>TEXT(A477,"MMMM")</f>
        <v>janeiro</v>
      </c>
      <c r="D477" s="30" t="s">
        <v>27</v>
      </c>
      <c r="E477" s="30" t="s">
        <v>34</v>
      </c>
      <c r="F477" s="31">
        <v>6.2962962962962957E-2</v>
      </c>
      <c r="G477" s="31">
        <v>0.33417824074074076</v>
      </c>
      <c r="H477" s="31">
        <v>0.63458333333333339</v>
      </c>
      <c r="I477" s="43">
        <f>H477-G477</f>
        <v>0.30040509259259263</v>
      </c>
      <c r="J477" s="43">
        <v>0.3</v>
      </c>
      <c r="K477" s="2">
        <f>I477-J477</f>
        <v>4.0509259259263741E-4</v>
      </c>
      <c r="L477" s="3"/>
      <c r="M477" s="4">
        <f>F477/I477</f>
        <v>0.20959352725871697</v>
      </c>
      <c r="N477" s="4">
        <f>I477/J477</f>
        <v>1.0013503086419755</v>
      </c>
    </row>
    <row r="478" spans="1:14" x14ac:dyDescent="0.3">
      <c r="A478" s="29">
        <v>46038</v>
      </c>
      <c r="B478" s="8">
        <f>YEAR(A478)</f>
        <v>2026</v>
      </c>
      <c r="C478" s="27" t="str">
        <f>TEXT(A478,"MMMM")</f>
        <v>janeiro</v>
      </c>
      <c r="D478" s="30" t="s">
        <v>68</v>
      </c>
      <c r="E478" s="30" t="s">
        <v>34</v>
      </c>
      <c r="F478" s="31">
        <v>5.0219907407407408E-2</v>
      </c>
      <c r="G478" s="31">
        <v>0.45755787037037038</v>
      </c>
      <c r="H478" s="31">
        <v>0.75034722222222228</v>
      </c>
      <c r="I478" s="43">
        <f>H478-G478</f>
        <v>0.2927893518518519</v>
      </c>
      <c r="J478" s="43">
        <v>0.3</v>
      </c>
      <c r="K478" s="2"/>
      <c r="L478" s="3">
        <f>J478-I478</f>
        <v>7.2106481481480911E-3</v>
      </c>
      <c r="M478" s="4">
        <f>F478/I478</f>
        <v>0.17152231489899986</v>
      </c>
      <c r="N478" s="4">
        <f>I478/J478</f>
        <v>0.9759645061728397</v>
      </c>
    </row>
    <row r="479" spans="1:14" x14ac:dyDescent="0.3">
      <c r="A479" s="29">
        <v>46038</v>
      </c>
      <c r="B479" s="8">
        <f>YEAR(A479)</f>
        <v>2026</v>
      </c>
      <c r="C479" s="27" t="str">
        <f>TEXT(A479,"MMMM")</f>
        <v>janeiro</v>
      </c>
      <c r="D479" s="30" t="s">
        <v>30</v>
      </c>
      <c r="E479" s="30" t="s">
        <v>34</v>
      </c>
      <c r="F479" s="31">
        <v>8.9305555555555555E-2</v>
      </c>
      <c r="G479" s="31">
        <v>0.33445601851851853</v>
      </c>
      <c r="H479" s="31">
        <v>0.63390046296296299</v>
      </c>
      <c r="I479" s="43">
        <f>H479-G479</f>
        <v>0.29944444444444446</v>
      </c>
      <c r="J479" s="43">
        <v>0.3</v>
      </c>
      <c r="K479" s="2"/>
      <c r="L479" s="3">
        <f>J479-I479</f>
        <v>5.5555555555553138E-4</v>
      </c>
      <c r="M479" s="4">
        <f>F479/I479</f>
        <v>0.29823747680890539</v>
      </c>
      <c r="N479" s="4">
        <f>I479/J479</f>
        <v>0.99814814814814823</v>
      </c>
    </row>
    <row r="480" spans="1:14" x14ac:dyDescent="0.3">
      <c r="A480" s="29">
        <v>46038</v>
      </c>
      <c r="B480" s="8">
        <f>YEAR(A480)</f>
        <v>2026</v>
      </c>
      <c r="C480" s="27" t="str">
        <f>TEXT(A480,"MMMM")</f>
        <v>janeiro</v>
      </c>
      <c r="D480" s="30" t="s">
        <v>28</v>
      </c>
      <c r="E480" s="30" t="s">
        <v>14</v>
      </c>
      <c r="F480" s="31">
        <v>2.554398148148148E-2</v>
      </c>
      <c r="G480" s="31">
        <v>0.42449074074074072</v>
      </c>
      <c r="H480" s="31">
        <v>0.75555555555555554</v>
      </c>
      <c r="I480" s="43">
        <f>H480-G480</f>
        <v>0.33106481481481481</v>
      </c>
      <c r="J480" s="43">
        <v>0.3</v>
      </c>
      <c r="K480" s="2">
        <f>I480-J480</f>
        <v>3.1064814814814823E-2</v>
      </c>
      <c r="L480" s="3"/>
      <c r="M480" s="4">
        <f>F480/I480</f>
        <v>7.7157040973290444E-2</v>
      </c>
      <c r="N480" s="4">
        <f>I480/J480</f>
        <v>1.1035493827160494</v>
      </c>
    </row>
    <row r="481" spans="1:14" x14ac:dyDescent="0.3">
      <c r="A481" s="29">
        <v>46038</v>
      </c>
      <c r="B481" s="8">
        <f>YEAR(A481)</f>
        <v>2026</v>
      </c>
      <c r="C481" s="27" t="str">
        <f>TEXT(A481,"MMMM")</f>
        <v>janeiro</v>
      </c>
      <c r="D481" s="30" t="s">
        <v>29</v>
      </c>
      <c r="E481" s="30" t="s">
        <v>14</v>
      </c>
      <c r="F481" s="31">
        <v>2.71875E-2</v>
      </c>
      <c r="G481" s="31">
        <v>0.33760416666666665</v>
      </c>
      <c r="H481" s="31">
        <v>0.6333333333333333</v>
      </c>
      <c r="I481" s="43">
        <f>H481-G481</f>
        <v>0.29572916666666665</v>
      </c>
      <c r="J481" s="43">
        <v>0.3</v>
      </c>
      <c r="K481" s="2"/>
      <c r="L481" s="3">
        <f>J481-I481</f>
        <v>4.2708333333333348E-3</v>
      </c>
      <c r="M481" s="4">
        <f>F481/I481</f>
        <v>9.1933779499823884E-2</v>
      </c>
      <c r="N481" s="4">
        <f>I481/J481</f>
        <v>0.98576388888888888</v>
      </c>
    </row>
    <row r="482" spans="1:14" x14ac:dyDescent="0.3">
      <c r="A482" s="29">
        <v>46041</v>
      </c>
      <c r="B482" s="8">
        <f>YEAR(A482)</f>
        <v>2026</v>
      </c>
      <c r="C482" s="27" t="str">
        <f>TEXT(A482,"MMMM")</f>
        <v>janeiro</v>
      </c>
      <c r="D482" s="30" t="s">
        <v>47</v>
      </c>
      <c r="E482" s="30" t="s">
        <v>21</v>
      </c>
      <c r="F482" s="31">
        <v>4.3935185185185188E-2</v>
      </c>
      <c r="G482" s="31">
        <v>0.52655092592592589</v>
      </c>
      <c r="H482" s="31">
        <v>0.75009259259259264</v>
      </c>
      <c r="I482" s="43">
        <f>H482-G482</f>
        <v>0.22354166666666675</v>
      </c>
      <c r="J482" s="43">
        <v>0.25</v>
      </c>
      <c r="K482" s="2"/>
      <c r="L482" s="3">
        <f>J482-I482</f>
        <v>2.645833333333325E-2</v>
      </c>
      <c r="M482" s="4">
        <f>F482/I482</f>
        <v>0.196541368955162</v>
      </c>
      <c r="N482" s="4">
        <f>I482/J482</f>
        <v>0.894166666666667</v>
      </c>
    </row>
    <row r="483" spans="1:14" x14ac:dyDescent="0.3">
      <c r="A483" s="29">
        <v>46041</v>
      </c>
      <c r="B483" s="8">
        <f>YEAR(A483)</f>
        <v>2026</v>
      </c>
      <c r="C483" s="27" t="str">
        <f>TEXT(A483,"MMMM")</f>
        <v>janeiro</v>
      </c>
      <c r="D483" s="30" t="s">
        <v>18</v>
      </c>
      <c r="E483" s="30" t="s">
        <v>14</v>
      </c>
      <c r="F483" s="31">
        <v>2.2303240740740742E-2</v>
      </c>
      <c r="G483" s="31">
        <v>0.34773148148148147</v>
      </c>
      <c r="H483" s="31">
        <v>0.63525462962962964</v>
      </c>
      <c r="I483" s="43">
        <f>H483-G483</f>
        <v>0.28752314814814817</v>
      </c>
      <c r="J483" s="43">
        <v>0.3</v>
      </c>
      <c r="K483" s="2"/>
      <c r="L483" s="3">
        <f>J483-I483</f>
        <v>1.2476851851851822E-2</v>
      </c>
      <c r="M483" s="4">
        <f>F483/I483</f>
        <v>7.7570243941711609E-2</v>
      </c>
      <c r="N483" s="4">
        <f>I483/J483</f>
        <v>0.95841049382716059</v>
      </c>
    </row>
    <row r="484" spans="1:14" x14ac:dyDescent="0.3">
      <c r="A484" s="29">
        <v>46041</v>
      </c>
      <c r="B484" s="8">
        <f>YEAR(A484)</f>
        <v>2026</v>
      </c>
      <c r="C484" s="27" t="str">
        <f>TEXT(A484,"MMMM")</f>
        <v>janeiro</v>
      </c>
      <c r="D484" s="30" t="s">
        <v>19</v>
      </c>
      <c r="E484" s="30" t="s">
        <v>34</v>
      </c>
      <c r="F484" s="31">
        <v>4.9942129629629628E-2</v>
      </c>
      <c r="G484" s="31">
        <v>0.3336689814814815</v>
      </c>
      <c r="H484" s="31">
        <v>0.63535879629629632</v>
      </c>
      <c r="I484" s="43">
        <f>H484-G484</f>
        <v>0.30168981481481483</v>
      </c>
      <c r="J484" s="43">
        <v>0.3</v>
      </c>
      <c r="K484" s="2">
        <f>I484-J484</f>
        <v>1.6898148148148384E-3</v>
      </c>
      <c r="L484" s="3"/>
      <c r="M484" s="4">
        <f>F484/I484</f>
        <v>0.16554131819228113</v>
      </c>
      <c r="N484" s="4">
        <f>I484/J484</f>
        <v>1.0056327160493828</v>
      </c>
    </row>
    <row r="485" spans="1:14" x14ac:dyDescent="0.3">
      <c r="A485" s="29">
        <v>46041</v>
      </c>
      <c r="B485" s="8">
        <f>YEAR(A485)</f>
        <v>2026</v>
      </c>
      <c r="C485" s="27" t="str">
        <f>TEXT(A485,"MMMM")</f>
        <v>janeiro</v>
      </c>
      <c r="D485" s="30" t="s">
        <v>69</v>
      </c>
      <c r="E485" s="30" t="s">
        <v>34</v>
      </c>
      <c r="F485" s="31">
        <v>4.0636574074074075E-2</v>
      </c>
      <c r="G485" s="31">
        <v>0.34188657407407408</v>
      </c>
      <c r="H485" s="31">
        <v>0.63462962962962965</v>
      </c>
      <c r="I485" s="43">
        <f>H485-G485</f>
        <v>0.29274305555555558</v>
      </c>
      <c r="J485" s="43">
        <v>0.3</v>
      </c>
      <c r="K485" s="2"/>
      <c r="L485" s="3">
        <f>J485-I485</f>
        <v>7.2569444444444131E-3</v>
      </c>
      <c r="M485" s="4">
        <f>F485/I485</f>
        <v>0.13881311034673624</v>
      </c>
      <c r="N485" s="4">
        <f>I485/J485</f>
        <v>0.97581018518518525</v>
      </c>
    </row>
    <row r="486" spans="1:14" x14ac:dyDescent="0.3">
      <c r="A486" s="29">
        <v>46041</v>
      </c>
      <c r="B486" s="8">
        <f>YEAR(A486)</f>
        <v>2026</v>
      </c>
      <c r="C486" s="27" t="str">
        <f>TEXT(A486,"MMMM")</f>
        <v>janeiro</v>
      </c>
      <c r="D486" s="30" t="s">
        <v>33</v>
      </c>
      <c r="E486" s="30" t="s">
        <v>34</v>
      </c>
      <c r="F486" s="31">
        <v>3.2569444444444443E-2</v>
      </c>
      <c r="G486" s="31">
        <v>0.33333333333333331</v>
      </c>
      <c r="H486" s="31">
        <v>0.63528935185185187</v>
      </c>
      <c r="I486" s="43">
        <f>H486-G486</f>
        <v>0.30195601851851855</v>
      </c>
      <c r="J486" s="43">
        <v>0.3</v>
      </c>
      <c r="K486" s="2">
        <f>I486-J486</f>
        <v>1.9560185185185652E-3</v>
      </c>
      <c r="L486" s="3"/>
      <c r="M486" s="4">
        <f>F486/I486</f>
        <v>0.10786155084518377</v>
      </c>
      <c r="N486" s="4">
        <f>I486/J486</f>
        <v>1.0065200617283951</v>
      </c>
    </row>
    <row r="487" spans="1:14" x14ac:dyDescent="0.3">
      <c r="A487" s="29">
        <v>46041</v>
      </c>
      <c r="B487" s="8">
        <f>YEAR(A487)</f>
        <v>2026</v>
      </c>
      <c r="C487" s="27" t="str">
        <f>TEXT(A487,"MMMM")</f>
        <v>janeiro</v>
      </c>
      <c r="D487" s="30" t="s">
        <v>24</v>
      </c>
      <c r="E487" s="30" t="s">
        <v>14</v>
      </c>
      <c r="F487" s="31">
        <v>2.8125000000000001E-2</v>
      </c>
      <c r="G487" s="31">
        <v>0.42988425925925927</v>
      </c>
      <c r="H487" s="31">
        <v>0.75532407407407409</v>
      </c>
      <c r="I487" s="43">
        <f>H487-G487</f>
        <v>0.32543981481481482</v>
      </c>
      <c r="J487" s="43">
        <v>0.3</v>
      </c>
      <c r="K487" s="2">
        <f>I487-J487</f>
        <v>2.5439814814814832E-2</v>
      </c>
      <c r="L487" s="3"/>
      <c r="M487" s="4">
        <f>F487/I487</f>
        <v>8.6421509353439077E-2</v>
      </c>
      <c r="N487" s="4">
        <f>I487/J487</f>
        <v>1.0847993827160494</v>
      </c>
    </row>
    <row r="488" spans="1:14" x14ac:dyDescent="0.3">
      <c r="A488" s="29">
        <v>46041</v>
      </c>
      <c r="B488" s="8">
        <f>YEAR(A488)</f>
        <v>2026</v>
      </c>
      <c r="C488" s="27" t="str">
        <f>TEXT(A488,"MMMM")</f>
        <v>janeiro</v>
      </c>
      <c r="D488" s="30" t="s">
        <v>25</v>
      </c>
      <c r="E488" s="30" t="s">
        <v>21</v>
      </c>
      <c r="F488" s="31">
        <v>3.9861111111111111E-2</v>
      </c>
      <c r="G488" s="31">
        <v>0.33450231481481479</v>
      </c>
      <c r="H488" s="31">
        <v>0.63386574074074076</v>
      </c>
      <c r="I488" s="43">
        <f>H488-G488</f>
        <v>0.29936342592592596</v>
      </c>
      <c r="J488" s="43">
        <v>0.3</v>
      </c>
      <c r="K488" s="2"/>
      <c r="L488" s="3">
        <f>J488-I488</f>
        <v>6.3657407407402555E-4</v>
      </c>
      <c r="M488" s="4">
        <f>F488/I488</f>
        <v>0.13315290933694179</v>
      </c>
      <c r="N488" s="4">
        <f>I488/J488</f>
        <v>0.99787808641975329</v>
      </c>
    </row>
    <row r="489" spans="1:14" x14ac:dyDescent="0.3">
      <c r="A489" s="29">
        <v>46041</v>
      </c>
      <c r="B489" s="8">
        <f>YEAR(A489)</f>
        <v>2026</v>
      </c>
      <c r="C489" s="27" t="str">
        <f>TEXT(A489,"MMMM")</f>
        <v>janeiro</v>
      </c>
      <c r="D489" s="30" t="s">
        <v>26</v>
      </c>
      <c r="E489" s="30" t="s">
        <v>15</v>
      </c>
      <c r="F489" s="31">
        <v>3.5381944444444445E-2</v>
      </c>
      <c r="G489" s="31">
        <v>0.34815972222222225</v>
      </c>
      <c r="H489" s="31">
        <v>0.63758101851851856</v>
      </c>
      <c r="I489" s="43">
        <f>H489-G489</f>
        <v>0.28942129629629632</v>
      </c>
      <c r="J489" s="43">
        <v>0.3</v>
      </c>
      <c r="K489" s="2"/>
      <c r="L489" s="3">
        <f>J489-I489</f>
        <v>1.0578703703703674E-2</v>
      </c>
      <c r="M489" s="4">
        <f>F489/I489</f>
        <v>0.12225065984163801</v>
      </c>
      <c r="N489" s="4">
        <f>I489/J489</f>
        <v>0.96473765432098779</v>
      </c>
    </row>
    <row r="490" spans="1:14" x14ac:dyDescent="0.3">
      <c r="A490" s="29">
        <v>46041</v>
      </c>
      <c r="B490" s="8">
        <f>YEAR(A490)</f>
        <v>2026</v>
      </c>
      <c r="C490" s="27" t="str">
        <f>TEXT(A490,"MMMM")</f>
        <v>janeiro</v>
      </c>
      <c r="D490" s="30" t="s">
        <v>27</v>
      </c>
      <c r="E490" s="30" t="s">
        <v>34</v>
      </c>
      <c r="F490" s="31">
        <v>3.0277777777777778E-2</v>
      </c>
      <c r="G490" s="31">
        <v>0.33416666666666667</v>
      </c>
      <c r="H490" s="31">
        <v>0.63672453703703702</v>
      </c>
      <c r="I490" s="43">
        <f>H490-G490</f>
        <v>0.30255787037037035</v>
      </c>
      <c r="J490" s="43">
        <v>0.3</v>
      </c>
      <c r="K490" s="2">
        <f>I490-J490</f>
        <v>2.5578703703703631E-3</v>
      </c>
      <c r="L490" s="3"/>
      <c r="M490" s="4">
        <f>F490/I490</f>
        <v>0.10007268275888452</v>
      </c>
      <c r="N490" s="4">
        <f>I490/J490</f>
        <v>1.0085262345679011</v>
      </c>
    </row>
    <row r="491" spans="1:14" x14ac:dyDescent="0.3">
      <c r="A491" s="29">
        <v>46041</v>
      </c>
      <c r="B491" s="8">
        <f>YEAR(A491)</f>
        <v>2026</v>
      </c>
      <c r="C491" s="27" t="str">
        <f>TEXT(A491,"MMMM")</f>
        <v>janeiro</v>
      </c>
      <c r="D491" s="30" t="s">
        <v>68</v>
      </c>
      <c r="E491" s="30" t="s">
        <v>34</v>
      </c>
      <c r="F491" s="31">
        <v>4.7418981481481479E-2</v>
      </c>
      <c r="G491" s="31">
        <v>0.44895833333333335</v>
      </c>
      <c r="H491" s="31">
        <v>0.75017361111111114</v>
      </c>
      <c r="I491" s="43">
        <f>H491-G491</f>
        <v>0.30121527777777779</v>
      </c>
      <c r="J491" s="43">
        <v>0.3</v>
      </c>
      <c r="K491" s="2">
        <f>I491-J491</f>
        <v>1.2152777777778012E-3</v>
      </c>
      <c r="L491" s="3"/>
      <c r="M491" s="4">
        <f>F491/I491</f>
        <v>0.15742555235350622</v>
      </c>
      <c r="N491" s="4">
        <f>I491/J491</f>
        <v>1.004050925925926</v>
      </c>
    </row>
    <row r="492" spans="1:14" x14ac:dyDescent="0.3">
      <c r="A492" s="29">
        <v>46041</v>
      </c>
      <c r="B492" s="8">
        <f>YEAR(A492)</f>
        <v>2026</v>
      </c>
      <c r="C492" s="27" t="str">
        <f>TEXT(A492,"MMMM")</f>
        <v>janeiro</v>
      </c>
      <c r="D492" s="30" t="s">
        <v>32</v>
      </c>
      <c r="E492" s="30" t="s">
        <v>34</v>
      </c>
      <c r="F492" s="31">
        <v>4.4467592592592593E-2</v>
      </c>
      <c r="G492" s="31">
        <v>0.45589120370370373</v>
      </c>
      <c r="H492" s="31">
        <v>0.75008101851851849</v>
      </c>
      <c r="I492" s="43">
        <f>H492-G492</f>
        <v>0.29418981481481477</v>
      </c>
      <c r="J492" s="43">
        <v>0.3</v>
      </c>
      <c r="K492" s="2"/>
      <c r="L492" s="3">
        <f>J492-I492</f>
        <v>5.8101851851852238E-3</v>
      </c>
      <c r="M492" s="4">
        <f>F492/I492</f>
        <v>0.15115272641435207</v>
      </c>
      <c r="N492" s="4">
        <f>I492/J492</f>
        <v>0.98063271604938262</v>
      </c>
    </row>
    <row r="493" spans="1:14" x14ac:dyDescent="0.3">
      <c r="A493" s="29">
        <v>46041</v>
      </c>
      <c r="B493" s="8">
        <f>YEAR(A493)</f>
        <v>2026</v>
      </c>
      <c r="C493" s="27" t="str">
        <f>TEXT(A493,"MMMM")</f>
        <v>janeiro</v>
      </c>
      <c r="D493" s="30" t="s">
        <v>30</v>
      </c>
      <c r="E493" s="30" t="s">
        <v>34</v>
      </c>
      <c r="F493" s="31">
        <v>1.2581018518518519E-2</v>
      </c>
      <c r="G493" s="31">
        <v>0.33409722222222221</v>
      </c>
      <c r="H493" s="31">
        <v>0.6333333333333333</v>
      </c>
      <c r="I493" s="43">
        <f>H493-G493</f>
        <v>0.29923611111111109</v>
      </c>
      <c r="J493" s="43">
        <v>0.3</v>
      </c>
      <c r="K493" s="2"/>
      <c r="L493" s="3">
        <f>J493-I493</f>
        <v>7.6388888888889728E-4</v>
      </c>
      <c r="M493" s="4">
        <f>F493/I493</f>
        <v>4.2043784327376814E-2</v>
      </c>
      <c r="N493" s="4">
        <f>I493/J493</f>
        <v>0.99745370370370368</v>
      </c>
    </row>
    <row r="494" spans="1:14" x14ac:dyDescent="0.3">
      <c r="A494" s="29">
        <v>46041</v>
      </c>
      <c r="B494" s="8">
        <f>YEAR(A494)</f>
        <v>2026</v>
      </c>
      <c r="C494" s="27" t="str">
        <f>TEXT(A494,"MMMM")</f>
        <v>janeiro</v>
      </c>
      <c r="D494" s="30" t="s">
        <v>28</v>
      </c>
      <c r="E494" s="30" t="s">
        <v>14</v>
      </c>
      <c r="F494" s="31">
        <v>1.068287037037037E-2</v>
      </c>
      <c r="G494" s="31">
        <v>0.45601851851851855</v>
      </c>
      <c r="H494" s="31">
        <v>0.75641203703703708</v>
      </c>
      <c r="I494" s="43">
        <f>H494-G494</f>
        <v>0.30039351851851853</v>
      </c>
      <c r="J494" s="43">
        <v>0.3</v>
      </c>
      <c r="K494" s="2">
        <f>I494-J494</f>
        <v>3.9351851851854303E-4</v>
      </c>
      <c r="L494" s="3"/>
      <c r="M494" s="4">
        <f>F494/I494</f>
        <v>3.5562919010557137E-2</v>
      </c>
      <c r="N494" s="4">
        <f>I494/J494</f>
        <v>1.0013117283950619</v>
      </c>
    </row>
    <row r="495" spans="1:14" x14ac:dyDescent="0.3">
      <c r="A495" s="29">
        <v>46041</v>
      </c>
      <c r="B495" s="8">
        <f>YEAR(A495)</f>
        <v>2026</v>
      </c>
      <c r="C495" s="27" t="str">
        <f>TEXT(A495,"MMMM")</f>
        <v>janeiro</v>
      </c>
      <c r="D495" s="30" t="s">
        <v>29</v>
      </c>
      <c r="E495" s="30" t="s">
        <v>14</v>
      </c>
      <c r="F495" s="31">
        <v>4.2106481481481481E-2</v>
      </c>
      <c r="G495" s="31">
        <v>0.33340277777777777</v>
      </c>
      <c r="H495" s="31">
        <v>0.63665509259259256</v>
      </c>
      <c r="I495" s="43">
        <f>H495-G495</f>
        <v>0.30325231481481479</v>
      </c>
      <c r="J495" s="43">
        <v>0.3</v>
      </c>
      <c r="K495" s="2">
        <f>I495-J495</f>
        <v>3.2523148148148051E-3</v>
      </c>
      <c r="L495" s="3"/>
      <c r="M495" s="4">
        <f>F495/I495</f>
        <v>0.13884966222663259</v>
      </c>
      <c r="N495" s="4">
        <f>I495/J495</f>
        <v>1.010841049382716</v>
      </c>
    </row>
    <row r="496" spans="1:14" x14ac:dyDescent="0.3">
      <c r="A496" s="29">
        <v>46042</v>
      </c>
      <c r="B496" s="8">
        <f>YEAR(A496)</f>
        <v>2026</v>
      </c>
      <c r="C496" s="27" t="str">
        <f>TEXT(A496,"MMMM")</f>
        <v>janeiro</v>
      </c>
      <c r="D496" s="30" t="s">
        <v>47</v>
      </c>
      <c r="E496" s="30" t="s">
        <v>21</v>
      </c>
      <c r="F496" s="31">
        <v>4.1064814814814818E-2</v>
      </c>
      <c r="G496" s="31">
        <v>0.510625</v>
      </c>
      <c r="H496" s="31">
        <v>0.75013888888888891</v>
      </c>
      <c r="I496" s="43">
        <f>H496-G496</f>
        <v>0.23951388888888892</v>
      </c>
      <c r="J496" s="43">
        <v>0.25</v>
      </c>
      <c r="K496" s="2"/>
      <c r="L496" s="3">
        <f>J496-I496</f>
        <v>1.0486111111111085E-2</v>
      </c>
      <c r="M496" s="4">
        <f>F496/I496</f>
        <v>0.17145066202764087</v>
      </c>
      <c r="N496" s="4">
        <f>I496/J496</f>
        <v>0.95805555555555566</v>
      </c>
    </row>
    <row r="497" spans="1:14" x14ac:dyDescent="0.3">
      <c r="A497" s="29">
        <v>46042</v>
      </c>
      <c r="B497" s="8">
        <f>YEAR(A497)</f>
        <v>2026</v>
      </c>
      <c r="C497" s="27" t="str">
        <f>TEXT(A497,"MMMM")</f>
        <v>janeiro</v>
      </c>
      <c r="D497" s="30" t="s">
        <v>18</v>
      </c>
      <c r="E497" s="30" t="s">
        <v>14</v>
      </c>
      <c r="F497" s="31">
        <v>2.9733796296296296E-2</v>
      </c>
      <c r="G497" s="31">
        <v>0.33379629629629631</v>
      </c>
      <c r="H497" s="31">
        <v>0.63468749999999996</v>
      </c>
      <c r="I497" s="43">
        <f>H497-G497</f>
        <v>0.30089120370370365</v>
      </c>
      <c r="J497" s="43">
        <v>0.3</v>
      </c>
      <c r="K497" s="2">
        <f>I497-J497</f>
        <v>8.9120370370365798E-4</v>
      </c>
      <c r="L497" s="3"/>
      <c r="M497" s="4">
        <f>F497/I497</f>
        <v>9.881909451090512E-2</v>
      </c>
      <c r="N497" s="4">
        <f>I497/J497</f>
        <v>1.0029706790123456</v>
      </c>
    </row>
    <row r="498" spans="1:14" x14ac:dyDescent="0.3">
      <c r="A498" s="29">
        <v>46042</v>
      </c>
      <c r="B498" s="8">
        <f>YEAR(A498)</f>
        <v>2026</v>
      </c>
      <c r="C498" s="27" t="str">
        <f>TEXT(A498,"MMMM")</f>
        <v>janeiro</v>
      </c>
      <c r="D498" s="30" t="s">
        <v>19</v>
      </c>
      <c r="E498" s="30" t="s">
        <v>34</v>
      </c>
      <c r="F498" s="31">
        <v>5.1238425925925923E-2</v>
      </c>
      <c r="G498" s="31">
        <v>0.33699074074074076</v>
      </c>
      <c r="H498" s="31">
        <v>0.63436342592592587</v>
      </c>
      <c r="I498" s="43">
        <f>H498-G498</f>
        <v>0.29737268518518511</v>
      </c>
      <c r="J498" s="43">
        <v>0.3</v>
      </c>
      <c r="K498" s="2"/>
      <c r="L498" s="3">
        <f>J498-I498</f>
        <v>2.6273148148148739E-3</v>
      </c>
      <c r="M498" s="4">
        <f>F498/I498</f>
        <v>0.1723037403183747</v>
      </c>
      <c r="N498" s="4">
        <f>I498/J498</f>
        <v>0.99124228395061709</v>
      </c>
    </row>
    <row r="499" spans="1:14" x14ac:dyDescent="0.3">
      <c r="A499" s="29">
        <v>46042</v>
      </c>
      <c r="B499" s="8">
        <f>YEAR(A499)</f>
        <v>2026</v>
      </c>
      <c r="C499" s="27" t="str">
        <f>TEXT(A499,"MMMM")</f>
        <v>janeiro</v>
      </c>
      <c r="D499" s="30" t="s">
        <v>69</v>
      </c>
      <c r="E499" s="30" t="s">
        <v>34</v>
      </c>
      <c r="F499" s="31">
        <v>4.1956018518518517E-2</v>
      </c>
      <c r="G499" s="31">
        <v>0.33934027777777775</v>
      </c>
      <c r="H499" s="31">
        <v>0.64774305555555556</v>
      </c>
      <c r="I499" s="43">
        <f>H499-G499</f>
        <v>0.3084027777777778</v>
      </c>
      <c r="J499" s="43">
        <v>0.3</v>
      </c>
      <c r="K499" s="2">
        <f>I499-J499</f>
        <v>8.4027777777778145E-3</v>
      </c>
      <c r="L499" s="3"/>
      <c r="M499" s="4">
        <f>F499/I499</f>
        <v>0.13604293327328679</v>
      </c>
      <c r="N499" s="4">
        <f>I499/J499</f>
        <v>1.0280092592592593</v>
      </c>
    </row>
    <row r="500" spans="1:14" x14ac:dyDescent="0.3">
      <c r="A500" s="29">
        <v>46042</v>
      </c>
      <c r="B500" s="8">
        <f>YEAR(A500)</f>
        <v>2026</v>
      </c>
      <c r="C500" s="27" t="str">
        <f>TEXT(A500,"MMMM")</f>
        <v>janeiro</v>
      </c>
      <c r="D500" s="30" t="s">
        <v>33</v>
      </c>
      <c r="E500" s="30" t="s">
        <v>34</v>
      </c>
      <c r="F500" s="31">
        <v>4.8136574074074075E-2</v>
      </c>
      <c r="G500" s="31">
        <v>0.33333333333333331</v>
      </c>
      <c r="H500" s="31">
        <v>0.63414351851851847</v>
      </c>
      <c r="I500" s="43">
        <f>H500-G500</f>
        <v>0.30081018518518515</v>
      </c>
      <c r="J500" s="43">
        <v>0.3</v>
      </c>
      <c r="K500" s="2">
        <f>I500-J500</f>
        <v>8.101851851851638E-4</v>
      </c>
      <c r="L500" s="3"/>
      <c r="M500" s="4">
        <f>F500/I500</f>
        <v>0.16002308580223165</v>
      </c>
      <c r="N500" s="4">
        <f>I500/J500</f>
        <v>1.0027006172839505</v>
      </c>
    </row>
    <row r="501" spans="1:14" x14ac:dyDescent="0.3">
      <c r="A501" s="29">
        <v>46042</v>
      </c>
      <c r="B501" s="8">
        <f>YEAR(A501)</f>
        <v>2026</v>
      </c>
      <c r="C501" s="27" t="str">
        <f>TEXT(A501,"MMMM")</f>
        <v>janeiro</v>
      </c>
      <c r="D501" s="30" t="s">
        <v>24</v>
      </c>
      <c r="E501" s="30" t="s">
        <v>14</v>
      </c>
      <c r="F501" s="31">
        <v>3.2627314814814817E-2</v>
      </c>
      <c r="G501" s="31">
        <v>0.42842592592592593</v>
      </c>
      <c r="H501" s="31">
        <v>0.75024305555555559</v>
      </c>
      <c r="I501" s="43">
        <f>H501-G501</f>
        <v>0.32181712962962966</v>
      </c>
      <c r="J501" s="43">
        <v>0.3</v>
      </c>
      <c r="K501" s="2">
        <f>I501-J501</f>
        <v>2.1817129629629672E-2</v>
      </c>
      <c r="L501" s="3"/>
      <c r="M501" s="4">
        <f>F501/I501</f>
        <v>0.10138464304981118</v>
      </c>
      <c r="N501" s="4">
        <f>I501/J501</f>
        <v>1.0727237654320989</v>
      </c>
    </row>
    <row r="502" spans="1:14" x14ac:dyDescent="0.3">
      <c r="A502" s="29">
        <v>46042</v>
      </c>
      <c r="B502" s="8">
        <f>YEAR(A502)</f>
        <v>2026</v>
      </c>
      <c r="C502" s="27" t="str">
        <f>TEXT(A502,"MMMM")</f>
        <v>janeiro</v>
      </c>
      <c r="D502" s="30" t="s">
        <v>25</v>
      </c>
      <c r="E502" s="30" t="s">
        <v>21</v>
      </c>
      <c r="F502" s="31">
        <v>5.4953703703703706E-2</v>
      </c>
      <c r="G502" s="31">
        <v>0.33336805555555554</v>
      </c>
      <c r="H502" s="31">
        <v>0.63371527777777781</v>
      </c>
      <c r="I502" s="43">
        <f>H502-G502</f>
        <v>0.30034722222222227</v>
      </c>
      <c r="J502" s="43">
        <v>0.3</v>
      </c>
      <c r="K502" s="2">
        <f>I502-J502</f>
        <v>3.472222222222765E-4</v>
      </c>
      <c r="L502" s="3"/>
      <c r="M502" s="4">
        <f>F502/I502</f>
        <v>0.18296724470134873</v>
      </c>
      <c r="N502" s="4">
        <f>I502/J502</f>
        <v>1.0011574074074077</v>
      </c>
    </row>
    <row r="503" spans="1:14" x14ac:dyDescent="0.3">
      <c r="A503" s="29">
        <v>46042</v>
      </c>
      <c r="B503" s="8">
        <f>YEAR(A503)</f>
        <v>2026</v>
      </c>
      <c r="C503" s="27" t="str">
        <f>TEXT(A503,"MMMM")</f>
        <v>janeiro</v>
      </c>
      <c r="D503" s="30" t="s">
        <v>26</v>
      </c>
      <c r="E503" s="30" t="s">
        <v>15</v>
      </c>
      <c r="F503" s="31">
        <v>4.6886574074074074E-2</v>
      </c>
      <c r="G503" s="31">
        <v>0.3334259259259259</v>
      </c>
      <c r="H503" s="31">
        <v>0.63606481481481481</v>
      </c>
      <c r="I503" s="43">
        <f>H503-G503</f>
        <v>0.3026388888888889</v>
      </c>
      <c r="J503" s="43">
        <v>0.3</v>
      </c>
      <c r="K503" s="2">
        <f>I503-J503</f>
        <v>2.6388888888889128E-3</v>
      </c>
      <c r="L503" s="3"/>
      <c r="M503" s="4">
        <f>F503/I503</f>
        <v>0.15492580694508185</v>
      </c>
      <c r="N503" s="4">
        <f>I503/J503</f>
        <v>1.0087962962962964</v>
      </c>
    </row>
    <row r="504" spans="1:14" x14ac:dyDescent="0.3">
      <c r="A504" s="29">
        <v>46042</v>
      </c>
      <c r="B504" s="8">
        <f>YEAR(A504)</f>
        <v>2026</v>
      </c>
      <c r="C504" s="27" t="str">
        <f>TEXT(A504,"MMMM")</f>
        <v>janeiro</v>
      </c>
      <c r="D504" s="30" t="s">
        <v>27</v>
      </c>
      <c r="E504" s="30" t="s">
        <v>34</v>
      </c>
      <c r="F504" s="31">
        <v>4.7291666666666669E-2</v>
      </c>
      <c r="G504" s="31">
        <v>0.33585648148148151</v>
      </c>
      <c r="H504" s="31">
        <v>0.6384143518518518</v>
      </c>
      <c r="I504" s="43">
        <f>H504-G504</f>
        <v>0.3025578703703703</v>
      </c>
      <c r="J504" s="43">
        <v>0.3</v>
      </c>
      <c r="K504" s="2">
        <f>I504-J504</f>
        <v>2.5578703703703076E-3</v>
      </c>
      <c r="L504" s="3"/>
      <c r="M504" s="4">
        <f>F504/I504</f>
        <v>0.15630618568532195</v>
      </c>
      <c r="N504" s="4">
        <f>I504/J504</f>
        <v>1.0085262345679011</v>
      </c>
    </row>
    <row r="505" spans="1:14" x14ac:dyDescent="0.3">
      <c r="A505" s="29">
        <v>46042</v>
      </c>
      <c r="B505" s="8">
        <f>YEAR(A505)</f>
        <v>2026</v>
      </c>
      <c r="C505" s="27" t="str">
        <f>TEXT(A505,"MMMM")</f>
        <v>janeiro</v>
      </c>
      <c r="D505" s="30" t="s">
        <v>68</v>
      </c>
      <c r="E505" s="30" t="s">
        <v>34</v>
      </c>
      <c r="F505" s="31">
        <v>4.2939814814814813E-2</v>
      </c>
      <c r="G505" s="31">
        <v>0.4617013888888889</v>
      </c>
      <c r="H505" s="31">
        <v>0.75023148148148144</v>
      </c>
      <c r="I505" s="43">
        <f>H505-G505</f>
        <v>0.28853009259259255</v>
      </c>
      <c r="J505" s="43">
        <v>0.3</v>
      </c>
      <c r="K505" s="2"/>
      <c r="L505" s="3">
        <f>J505-I505</f>
        <v>1.1469907407407443E-2</v>
      </c>
      <c r="M505" s="4">
        <f>F505/I505</f>
        <v>0.14882265634401703</v>
      </c>
      <c r="N505" s="4">
        <f>I505/J505</f>
        <v>0.96176697530864186</v>
      </c>
    </row>
    <row r="506" spans="1:14" x14ac:dyDescent="0.3">
      <c r="A506" s="29">
        <v>46042</v>
      </c>
      <c r="B506" s="8">
        <f>YEAR(A506)</f>
        <v>2026</v>
      </c>
      <c r="C506" s="27" t="str">
        <f>TEXT(A506,"MMMM")</f>
        <v>janeiro</v>
      </c>
      <c r="D506" s="30" t="s">
        <v>32</v>
      </c>
      <c r="E506" s="30" t="s">
        <v>34</v>
      </c>
      <c r="F506" s="31">
        <v>4.4895833333333336E-2</v>
      </c>
      <c r="G506" s="31">
        <v>0.43299768518518517</v>
      </c>
      <c r="H506" s="31">
        <v>0.75027777777777782</v>
      </c>
      <c r="I506" s="43">
        <f>H506-G506</f>
        <v>0.31728009259259266</v>
      </c>
      <c r="J506" s="43">
        <v>0.3</v>
      </c>
      <c r="K506" s="2">
        <f>I506-J506</f>
        <v>1.7280092592592666E-2</v>
      </c>
      <c r="L506" s="3"/>
      <c r="M506" s="4">
        <f>F506/I506</f>
        <v>0.14150220698208876</v>
      </c>
      <c r="N506" s="4">
        <f>I506/J506</f>
        <v>1.0576003086419756</v>
      </c>
    </row>
    <row r="507" spans="1:14" x14ac:dyDescent="0.3">
      <c r="A507" s="29">
        <v>46042</v>
      </c>
      <c r="B507" s="8">
        <f>YEAR(A507)</f>
        <v>2026</v>
      </c>
      <c r="C507" s="27" t="str">
        <f>TEXT(A507,"MMMM")</f>
        <v>janeiro</v>
      </c>
      <c r="D507" s="30" t="s">
        <v>28</v>
      </c>
      <c r="E507" s="30" t="s">
        <v>14</v>
      </c>
      <c r="F507" s="31">
        <v>3.8240740740740742E-2</v>
      </c>
      <c r="G507" s="31">
        <v>0.45015046296296296</v>
      </c>
      <c r="H507" s="31">
        <v>0.75287037037037041</v>
      </c>
      <c r="I507" s="43">
        <f>H507-G507</f>
        <v>0.30271990740740745</v>
      </c>
      <c r="J507" s="43">
        <v>0.3</v>
      </c>
      <c r="K507" s="2">
        <f>I507-J507</f>
        <v>2.7199074074074625E-3</v>
      </c>
      <c r="L507" s="3"/>
      <c r="M507" s="4">
        <f>F507/I507</f>
        <v>0.12632383865417701</v>
      </c>
      <c r="N507" s="4">
        <f>I507/J507</f>
        <v>1.0090663580246915</v>
      </c>
    </row>
    <row r="508" spans="1:14" x14ac:dyDescent="0.3">
      <c r="A508" s="29">
        <v>46042</v>
      </c>
      <c r="B508" s="8">
        <f>YEAR(A508)</f>
        <v>2026</v>
      </c>
      <c r="C508" s="27" t="str">
        <f>TEXT(A508,"MMMM")</f>
        <v>janeiro</v>
      </c>
      <c r="D508" s="30" t="s">
        <v>29</v>
      </c>
      <c r="E508" s="30" t="s">
        <v>14</v>
      </c>
      <c r="F508" s="31">
        <v>3.8993055555555559E-2</v>
      </c>
      <c r="G508" s="31">
        <v>0.3334259259259259</v>
      </c>
      <c r="H508" s="31">
        <v>0.63444444444444448</v>
      </c>
      <c r="I508" s="43">
        <f>H508-G508</f>
        <v>0.30101851851851857</v>
      </c>
      <c r="J508" s="43">
        <v>0.3</v>
      </c>
      <c r="K508" s="2">
        <f>I508-J508</f>
        <v>1.0185185185185852E-3</v>
      </c>
      <c r="L508" s="3"/>
      <c r="M508" s="4">
        <f>F508/I508</f>
        <v>0.12953706551830205</v>
      </c>
      <c r="N508" s="4">
        <f>I508/J508</f>
        <v>1.0033950617283953</v>
      </c>
    </row>
    <row r="509" spans="1:14" x14ac:dyDescent="0.3">
      <c r="A509" s="29">
        <v>46043</v>
      </c>
      <c r="B509" s="8">
        <f>YEAR(A509)</f>
        <v>2026</v>
      </c>
      <c r="C509" s="27" t="str">
        <f>TEXT(A509,"MMMM")</f>
        <v>janeiro</v>
      </c>
      <c r="D509" s="30" t="s">
        <v>47</v>
      </c>
      <c r="E509" s="30" t="s">
        <v>21</v>
      </c>
      <c r="F509" s="31">
        <v>3.8287037037037036E-2</v>
      </c>
      <c r="G509" s="31">
        <v>0.51420138888888889</v>
      </c>
      <c r="H509" s="31">
        <v>0.75055555555555553</v>
      </c>
      <c r="I509" s="43">
        <f>H509-G509</f>
        <v>0.23635416666666664</v>
      </c>
      <c r="J509" s="43">
        <v>0.25</v>
      </c>
      <c r="K509" s="2"/>
      <c r="L509" s="3">
        <f>J509-I509</f>
        <v>1.3645833333333357E-2</v>
      </c>
      <c r="M509" s="4">
        <f>F509/I509</f>
        <v>0.16199010822192841</v>
      </c>
      <c r="N509" s="4">
        <f>I509/J509</f>
        <v>0.94541666666666657</v>
      </c>
    </row>
    <row r="510" spans="1:14" x14ac:dyDescent="0.3">
      <c r="A510" s="29">
        <v>46043</v>
      </c>
      <c r="B510" s="8">
        <f>YEAR(A510)</f>
        <v>2026</v>
      </c>
      <c r="C510" s="27" t="str">
        <f>TEXT(A510,"MMMM")</f>
        <v>janeiro</v>
      </c>
      <c r="D510" s="30" t="s">
        <v>18</v>
      </c>
      <c r="E510" s="30" t="s">
        <v>14</v>
      </c>
      <c r="F510" s="31">
        <v>4.1226851851851855E-2</v>
      </c>
      <c r="G510" s="31">
        <v>0.33446759259259257</v>
      </c>
      <c r="H510" s="31">
        <v>0.70222222222222219</v>
      </c>
      <c r="I510" s="43">
        <f>H510-G510</f>
        <v>0.36775462962962963</v>
      </c>
      <c r="J510" s="43">
        <v>0.3</v>
      </c>
      <c r="K510" s="2">
        <f>I510-J510</f>
        <v>6.7754629629629637E-2</v>
      </c>
      <c r="L510" s="3"/>
      <c r="M510" s="4">
        <f>F510/I510</f>
        <v>0.11210423616793606</v>
      </c>
      <c r="N510" s="4">
        <f>I510/J510</f>
        <v>1.2258487654320989</v>
      </c>
    </row>
    <row r="511" spans="1:14" x14ac:dyDescent="0.3">
      <c r="A511" s="29">
        <v>46043</v>
      </c>
      <c r="B511" s="8">
        <f>YEAR(A511)</f>
        <v>2026</v>
      </c>
      <c r="C511" s="27" t="str">
        <f>TEXT(A511,"MMMM")</f>
        <v>janeiro</v>
      </c>
      <c r="D511" s="30" t="s">
        <v>19</v>
      </c>
      <c r="E511" s="30" t="s">
        <v>34</v>
      </c>
      <c r="F511" s="31">
        <v>5.2881944444444447E-2</v>
      </c>
      <c r="G511" s="31">
        <v>0.33491898148148147</v>
      </c>
      <c r="H511" s="31">
        <v>0.63481481481481483</v>
      </c>
      <c r="I511" s="43">
        <f>H511-G511</f>
        <v>0.29989583333333336</v>
      </c>
      <c r="J511" s="43">
        <v>0.3</v>
      </c>
      <c r="K511" s="2"/>
      <c r="L511" s="3">
        <f>J511-I511</f>
        <v>1.0416666666662744E-4</v>
      </c>
      <c r="M511" s="4">
        <f>F511/I511</f>
        <v>0.17633437536181543</v>
      </c>
      <c r="N511" s="4">
        <f>I511/J511</f>
        <v>0.99965277777777795</v>
      </c>
    </row>
    <row r="512" spans="1:14" x14ac:dyDescent="0.3">
      <c r="A512" s="29">
        <v>46043</v>
      </c>
      <c r="B512" s="8">
        <f>YEAR(A512)</f>
        <v>2026</v>
      </c>
      <c r="C512" s="27" t="str">
        <f>TEXT(A512,"MMMM")</f>
        <v>janeiro</v>
      </c>
      <c r="D512" s="30" t="s">
        <v>69</v>
      </c>
      <c r="E512" s="30" t="s">
        <v>34</v>
      </c>
      <c r="F512" s="31">
        <v>3.9803240740740743E-2</v>
      </c>
      <c r="G512" s="31">
        <v>0.44063657407407408</v>
      </c>
      <c r="H512" s="31">
        <v>0.63726851851851851</v>
      </c>
      <c r="I512" s="43">
        <f>H512-G512</f>
        <v>0.19663194444444443</v>
      </c>
      <c r="J512" s="43">
        <v>0.3</v>
      </c>
      <c r="K512" s="2"/>
      <c r="L512" s="3">
        <f>J512-I512</f>
        <v>0.10336805555555556</v>
      </c>
      <c r="M512" s="4">
        <f>F512/I512</f>
        <v>0.2024250985932074</v>
      </c>
      <c r="N512" s="4">
        <f>I512/J512</f>
        <v>0.65543981481481484</v>
      </c>
    </row>
    <row r="513" spans="1:14" x14ac:dyDescent="0.3">
      <c r="A513" s="29">
        <v>46043</v>
      </c>
      <c r="B513" s="8">
        <f>YEAR(A513)</f>
        <v>2026</v>
      </c>
      <c r="C513" s="27" t="str">
        <f>TEXT(A513,"MMMM")</f>
        <v>janeiro</v>
      </c>
      <c r="D513" s="30" t="s">
        <v>33</v>
      </c>
      <c r="E513" s="30" t="s">
        <v>34</v>
      </c>
      <c r="F513" s="31">
        <v>3.3842592592592591E-2</v>
      </c>
      <c r="G513" s="31">
        <v>0.33333333333333331</v>
      </c>
      <c r="H513" s="31">
        <v>0.6338773148148148</v>
      </c>
      <c r="I513" s="43">
        <f>H513-G513</f>
        <v>0.30054398148148148</v>
      </c>
      <c r="J513" s="43">
        <v>0.3</v>
      </c>
      <c r="K513" s="2">
        <f>I513-J513</f>
        <v>5.439814814814925E-4</v>
      </c>
      <c r="L513" s="3"/>
      <c r="M513" s="4">
        <f>F513/I513</f>
        <v>0.11260445950629645</v>
      </c>
      <c r="N513" s="4">
        <f>I513/J513</f>
        <v>1.0018132716049384</v>
      </c>
    </row>
    <row r="514" spans="1:14" x14ac:dyDescent="0.3">
      <c r="A514" s="29">
        <v>46043</v>
      </c>
      <c r="B514" s="8">
        <f>YEAR(A514)</f>
        <v>2026</v>
      </c>
      <c r="C514" s="27" t="str">
        <f>TEXT(A514,"MMMM")</f>
        <v>janeiro</v>
      </c>
      <c r="D514" s="30" t="s">
        <v>24</v>
      </c>
      <c r="E514" s="30" t="s">
        <v>14</v>
      </c>
      <c r="F514" s="31">
        <v>3.9768518518518516E-2</v>
      </c>
      <c r="G514" s="31">
        <v>0.42078703703703701</v>
      </c>
      <c r="H514" s="31">
        <v>0.75027777777777782</v>
      </c>
      <c r="I514" s="43">
        <f>H514-G514</f>
        <v>0.32949074074074081</v>
      </c>
      <c r="J514" s="43">
        <v>0.3</v>
      </c>
      <c r="K514" s="2">
        <f>I514-J514</f>
        <v>2.9490740740740817E-2</v>
      </c>
      <c r="L514" s="3"/>
      <c r="M514" s="4">
        <f>F514/I514</f>
        <v>0.12069692286075591</v>
      </c>
      <c r="N514" s="4">
        <f>I514/J514</f>
        <v>1.0983024691358028</v>
      </c>
    </row>
    <row r="515" spans="1:14" x14ac:dyDescent="0.3">
      <c r="A515" s="29">
        <v>46043</v>
      </c>
      <c r="B515" s="8">
        <f>YEAR(A515)</f>
        <v>2026</v>
      </c>
      <c r="C515" s="27" t="str">
        <f>TEXT(A515,"MMMM")</f>
        <v>janeiro</v>
      </c>
      <c r="D515" s="30" t="s">
        <v>25</v>
      </c>
      <c r="E515" s="30" t="s">
        <v>21</v>
      </c>
      <c r="F515" s="31">
        <v>3.9849537037037037E-2</v>
      </c>
      <c r="G515" s="31">
        <v>0.33357638888888891</v>
      </c>
      <c r="H515" s="31">
        <v>0.63378472222222226</v>
      </c>
      <c r="I515" s="43">
        <f>H515-G515</f>
        <v>0.30020833333333335</v>
      </c>
      <c r="J515" s="43">
        <v>0.3</v>
      </c>
      <c r="K515" s="2">
        <f>I515-J515</f>
        <v>2.083333333333659E-4</v>
      </c>
      <c r="L515" s="3"/>
      <c r="M515" s="4">
        <f>F515/I515</f>
        <v>0.13273960983884647</v>
      </c>
      <c r="N515" s="4">
        <f>I515/J515</f>
        <v>1.0006944444444446</v>
      </c>
    </row>
    <row r="516" spans="1:14" x14ac:dyDescent="0.3">
      <c r="A516" s="29">
        <v>46043</v>
      </c>
      <c r="B516" s="8">
        <f>YEAR(A516)</f>
        <v>2026</v>
      </c>
      <c r="C516" s="27" t="str">
        <f>TEXT(A516,"MMMM")</f>
        <v>janeiro</v>
      </c>
      <c r="D516" s="30" t="s">
        <v>26</v>
      </c>
      <c r="E516" s="30" t="s">
        <v>15</v>
      </c>
      <c r="F516" s="31">
        <v>4.4884259259259263E-2</v>
      </c>
      <c r="G516" s="31">
        <v>0.33333333333333331</v>
      </c>
      <c r="H516" s="31">
        <v>0.63832175925925927</v>
      </c>
      <c r="I516" s="43">
        <f>H516-G516</f>
        <v>0.30498842592592595</v>
      </c>
      <c r="J516" s="43">
        <v>0.3</v>
      </c>
      <c r="K516" s="2">
        <f>I516-J516</f>
        <v>4.9884259259259656E-3</v>
      </c>
      <c r="L516" s="3"/>
      <c r="M516" s="4">
        <f>F516/I516</f>
        <v>0.14716709043300064</v>
      </c>
      <c r="N516" s="4">
        <f>I516/J516</f>
        <v>1.0166280864197532</v>
      </c>
    </row>
    <row r="517" spans="1:14" x14ac:dyDescent="0.3">
      <c r="A517" s="29">
        <v>46043</v>
      </c>
      <c r="B517" s="8">
        <f>YEAR(A517)</f>
        <v>2026</v>
      </c>
      <c r="C517" s="27" t="str">
        <f>TEXT(A517,"MMMM")</f>
        <v>janeiro</v>
      </c>
      <c r="D517" s="30" t="s">
        <v>27</v>
      </c>
      <c r="E517" s="30" t="s">
        <v>34</v>
      </c>
      <c r="F517" s="31">
        <v>4.5173611111111109E-2</v>
      </c>
      <c r="G517" s="31">
        <v>0.33344907407407409</v>
      </c>
      <c r="H517" s="31">
        <v>0.67109953703703706</v>
      </c>
      <c r="I517" s="43">
        <f>H517-G517</f>
        <v>0.33765046296296297</v>
      </c>
      <c r="J517" s="43">
        <v>0.3</v>
      </c>
      <c r="K517" s="2">
        <f>I517-J517</f>
        <v>3.7650462962962983E-2</v>
      </c>
      <c r="L517" s="3"/>
      <c r="M517" s="4">
        <f>F517/I517</f>
        <v>0.13378809172865319</v>
      </c>
      <c r="N517" s="4">
        <f>I517/J517</f>
        <v>1.1255015432098767</v>
      </c>
    </row>
    <row r="518" spans="1:14" x14ac:dyDescent="0.3">
      <c r="A518" s="29">
        <v>46043</v>
      </c>
      <c r="B518" s="8">
        <f>YEAR(A518)</f>
        <v>2026</v>
      </c>
      <c r="C518" s="27" t="str">
        <f>TEXT(A518,"MMMM")</f>
        <v>janeiro</v>
      </c>
      <c r="D518" s="30" t="s">
        <v>68</v>
      </c>
      <c r="E518" s="30" t="s">
        <v>34</v>
      </c>
      <c r="F518" s="31">
        <v>4.9467592592592591E-2</v>
      </c>
      <c r="G518" s="31">
        <v>0.45773148148148146</v>
      </c>
      <c r="H518" s="31">
        <v>0.75023148148148144</v>
      </c>
      <c r="I518" s="43">
        <f>H518-G518</f>
        <v>0.29249999999999998</v>
      </c>
      <c r="J518" s="43">
        <v>0.3</v>
      </c>
      <c r="K518" s="2"/>
      <c r="L518" s="3">
        <f>J518-I518</f>
        <v>7.5000000000000067E-3</v>
      </c>
      <c r="M518" s="4">
        <f>F518/I518</f>
        <v>0.16911997467553022</v>
      </c>
      <c r="N518" s="4">
        <f>I518/J518</f>
        <v>0.97499999999999998</v>
      </c>
    </row>
    <row r="519" spans="1:14" x14ac:dyDescent="0.3">
      <c r="A519" s="29">
        <v>46043</v>
      </c>
      <c r="B519" s="8">
        <f>YEAR(A519)</f>
        <v>2026</v>
      </c>
      <c r="C519" s="27" t="str">
        <f>TEXT(A519,"MMMM")</f>
        <v>janeiro</v>
      </c>
      <c r="D519" s="30" t="s">
        <v>32</v>
      </c>
      <c r="E519" s="30" t="s">
        <v>34</v>
      </c>
      <c r="F519" s="31">
        <v>4.2557870370370371E-2</v>
      </c>
      <c r="G519" s="31">
        <v>0.43327546296296299</v>
      </c>
      <c r="H519" s="31">
        <v>0.75070601851851848</v>
      </c>
      <c r="I519" s="43">
        <f>H519-G519</f>
        <v>0.31743055555555549</v>
      </c>
      <c r="J519" s="43">
        <v>0.3</v>
      </c>
      <c r="K519" s="2">
        <f>I519-J519</f>
        <v>1.7430555555555505E-2</v>
      </c>
      <c r="L519" s="3"/>
      <c r="M519" s="4">
        <f>F519/I519</f>
        <v>0.13406986071610882</v>
      </c>
      <c r="N519" s="4">
        <f>I519/J519</f>
        <v>1.0581018518518517</v>
      </c>
    </row>
    <row r="520" spans="1:14" x14ac:dyDescent="0.3">
      <c r="A520" s="29">
        <v>46043</v>
      </c>
      <c r="B520" s="8">
        <f>YEAR(A520)</f>
        <v>2026</v>
      </c>
      <c r="C520" s="27" t="str">
        <f>TEXT(A520,"MMMM")</f>
        <v>janeiro</v>
      </c>
      <c r="D520" s="30" t="s">
        <v>28</v>
      </c>
      <c r="E520" s="30" t="s">
        <v>14</v>
      </c>
      <c r="F520" s="31">
        <v>5.1122685185185188E-2</v>
      </c>
      <c r="G520" s="31">
        <v>0.45826388888888892</v>
      </c>
      <c r="H520" s="31">
        <v>0.75219907407407405</v>
      </c>
      <c r="I520" s="43">
        <f>H520-G520</f>
        <v>0.29393518518518513</v>
      </c>
      <c r="J520" s="43">
        <v>0.3</v>
      </c>
      <c r="K520" s="2"/>
      <c r="L520" s="3">
        <f>J520-I520</f>
        <v>6.0648148148148562E-3</v>
      </c>
      <c r="M520" s="4">
        <f>F520/I520</f>
        <v>0.17392502756339584</v>
      </c>
      <c r="N520" s="4">
        <f>I520/J520</f>
        <v>0.97978395061728385</v>
      </c>
    </row>
    <row r="521" spans="1:14" x14ac:dyDescent="0.3">
      <c r="A521" s="29">
        <v>46043</v>
      </c>
      <c r="B521" s="8">
        <f>YEAR(A521)</f>
        <v>2026</v>
      </c>
      <c r="C521" s="27" t="str">
        <f>TEXT(A521,"MMMM")</f>
        <v>janeiro</v>
      </c>
      <c r="D521" s="30" t="s">
        <v>29</v>
      </c>
      <c r="E521" s="30" t="s">
        <v>14</v>
      </c>
      <c r="F521" s="31">
        <v>3.6631944444444446E-2</v>
      </c>
      <c r="G521" s="31">
        <v>0.33381944444444445</v>
      </c>
      <c r="H521" s="31">
        <v>0.71182870370370366</v>
      </c>
      <c r="I521" s="43">
        <f>H521-G521</f>
        <v>0.37800925925925921</v>
      </c>
      <c r="J521" s="43">
        <v>0.3</v>
      </c>
      <c r="K521" s="2">
        <f>I521-J521</f>
        <v>7.8009259259259223E-2</v>
      </c>
      <c r="L521" s="3"/>
      <c r="M521" s="4">
        <f>F521/I521</f>
        <v>9.690753214941826E-2</v>
      </c>
      <c r="N521" s="4">
        <f>I521/J521</f>
        <v>1.2600308641975309</v>
      </c>
    </row>
    <row r="522" spans="1:14" x14ac:dyDescent="0.3">
      <c r="A522" s="29">
        <v>46044</v>
      </c>
      <c r="B522" s="8">
        <f>YEAR(A522)</f>
        <v>2026</v>
      </c>
      <c r="C522" s="27" t="str">
        <f>TEXT(A522,"MMMM")</f>
        <v>janeiro</v>
      </c>
      <c r="D522" s="30" t="s">
        <v>47</v>
      </c>
      <c r="E522" s="30" t="s">
        <v>21</v>
      </c>
      <c r="F522" s="31">
        <v>4.0451388888888891E-2</v>
      </c>
      <c r="G522" s="31">
        <v>0.53238425925925925</v>
      </c>
      <c r="H522" s="31">
        <v>0.75026620370370367</v>
      </c>
      <c r="I522" s="43">
        <f>H522-G522</f>
        <v>0.21788194444444442</v>
      </c>
      <c r="J522" s="43">
        <v>0.25</v>
      </c>
      <c r="K522" s="2"/>
      <c r="L522" s="3">
        <f>J522-I522</f>
        <v>3.211805555555558E-2</v>
      </c>
      <c r="M522" s="4">
        <f>F522/I522</f>
        <v>0.18565737051792833</v>
      </c>
      <c r="N522" s="4">
        <f>I522/J522</f>
        <v>0.87152777777777768</v>
      </c>
    </row>
    <row r="523" spans="1:14" x14ac:dyDescent="0.3">
      <c r="A523" s="29">
        <v>46044</v>
      </c>
      <c r="B523" s="8">
        <f>YEAR(A523)</f>
        <v>2026</v>
      </c>
      <c r="C523" s="27" t="str">
        <f>TEXT(A523,"MMMM")</f>
        <v>janeiro</v>
      </c>
      <c r="D523" s="30" t="s">
        <v>18</v>
      </c>
      <c r="E523" s="30" t="s">
        <v>14</v>
      </c>
      <c r="F523" s="31">
        <v>3.1863425925925927E-2</v>
      </c>
      <c r="G523" s="31">
        <v>0.33462962962962961</v>
      </c>
      <c r="H523" s="31">
        <v>0.63853009259259264</v>
      </c>
      <c r="I523" s="43">
        <f>H523-G523</f>
        <v>0.30390046296296302</v>
      </c>
      <c r="J523" s="43">
        <v>0.3</v>
      </c>
      <c r="K523" s="2">
        <f>I523-J523</f>
        <v>3.9004629629630361E-3</v>
      </c>
      <c r="L523" s="3"/>
      <c r="M523" s="4">
        <f>F523/I523</f>
        <v>0.10484823094793767</v>
      </c>
      <c r="N523" s="4">
        <f>I523/J523</f>
        <v>1.0130015432098769</v>
      </c>
    </row>
    <row r="524" spans="1:14" x14ac:dyDescent="0.3">
      <c r="A524" s="29">
        <v>46044</v>
      </c>
      <c r="B524" s="8">
        <f>YEAR(A524)</f>
        <v>2026</v>
      </c>
      <c r="C524" s="27" t="str">
        <f>TEXT(A524,"MMMM")</f>
        <v>janeiro</v>
      </c>
      <c r="D524" s="30" t="s">
        <v>19</v>
      </c>
      <c r="E524" s="30" t="s">
        <v>34</v>
      </c>
      <c r="F524" s="31">
        <v>5.8668981481481482E-2</v>
      </c>
      <c r="G524" s="31">
        <v>0.33572916666666669</v>
      </c>
      <c r="H524" s="31">
        <v>0.63380787037037034</v>
      </c>
      <c r="I524" s="43">
        <f>H524-G524</f>
        <v>0.29807870370370365</v>
      </c>
      <c r="J524" s="43">
        <v>0.3</v>
      </c>
      <c r="K524" s="2"/>
      <c r="L524" s="3">
        <f>J524-I524</f>
        <v>1.9212962962963376E-3</v>
      </c>
      <c r="M524" s="4">
        <f>F524/I524</f>
        <v>0.19682379436204089</v>
      </c>
      <c r="N524" s="4">
        <f>I524/J524</f>
        <v>0.99359567901234558</v>
      </c>
    </row>
    <row r="525" spans="1:14" x14ac:dyDescent="0.3">
      <c r="A525" s="29">
        <v>46044</v>
      </c>
      <c r="B525" s="8">
        <f>YEAR(A525)</f>
        <v>2026</v>
      </c>
      <c r="C525" s="27" t="str">
        <f>TEXT(A525,"MMMM")</f>
        <v>janeiro</v>
      </c>
      <c r="D525" s="30" t="s">
        <v>69</v>
      </c>
      <c r="E525" s="30" t="s">
        <v>34</v>
      </c>
      <c r="F525" s="31">
        <v>4.9884259259259257E-3</v>
      </c>
      <c r="G525" s="31">
        <v>0.40787037037037038</v>
      </c>
      <c r="H525" s="31">
        <v>0.6333333333333333</v>
      </c>
      <c r="I525" s="43">
        <f>H525-G525</f>
        <v>0.22546296296296292</v>
      </c>
      <c r="J525" s="43">
        <v>0.3</v>
      </c>
      <c r="K525" s="2"/>
      <c r="L525" s="3">
        <f>J525-I525</f>
        <v>7.4537037037037068E-2</v>
      </c>
      <c r="M525" s="4">
        <f>F525/I525</f>
        <v>2.2125256673511298E-2</v>
      </c>
      <c r="N525" s="4">
        <f>I525/J525</f>
        <v>0.75154320987654311</v>
      </c>
    </row>
    <row r="526" spans="1:14" x14ac:dyDescent="0.3">
      <c r="A526" s="29">
        <v>46044</v>
      </c>
      <c r="B526" s="8">
        <f>YEAR(A526)</f>
        <v>2026</v>
      </c>
      <c r="C526" s="27" t="str">
        <f>TEXT(A526,"MMMM")</f>
        <v>janeiro</v>
      </c>
      <c r="D526" s="30" t="s">
        <v>33</v>
      </c>
      <c r="E526" s="30" t="s">
        <v>34</v>
      </c>
      <c r="F526" s="31">
        <v>3.7546296296296293E-2</v>
      </c>
      <c r="G526" s="31">
        <v>0.33333333333333331</v>
      </c>
      <c r="H526" s="31">
        <v>0.63424768518518515</v>
      </c>
      <c r="I526" s="43">
        <f>H526-G526</f>
        <v>0.30091435185185184</v>
      </c>
      <c r="J526" s="43">
        <v>0.3</v>
      </c>
      <c r="K526" s="2">
        <f>I526-J526</f>
        <v>9.1435185185184675E-4</v>
      </c>
      <c r="L526" s="3"/>
      <c r="M526" s="4">
        <f>F526/I526</f>
        <v>0.12477402977037579</v>
      </c>
      <c r="N526" s="4">
        <f>I526/J526</f>
        <v>1.0030478395061728</v>
      </c>
    </row>
    <row r="527" spans="1:14" x14ac:dyDescent="0.3">
      <c r="A527" s="29">
        <v>46044</v>
      </c>
      <c r="B527" s="8">
        <f>YEAR(A527)</f>
        <v>2026</v>
      </c>
      <c r="C527" s="27" t="str">
        <f>TEXT(A527,"MMMM")</f>
        <v>janeiro</v>
      </c>
      <c r="D527" s="30" t="s">
        <v>24</v>
      </c>
      <c r="E527" s="30" t="s">
        <v>14</v>
      </c>
      <c r="F527" s="31">
        <v>3.5682870370370372E-2</v>
      </c>
      <c r="G527" s="31">
        <v>0.44428240740740743</v>
      </c>
      <c r="H527" s="31">
        <v>0.75398148148148147</v>
      </c>
      <c r="I527" s="43">
        <f>H527-G527</f>
        <v>0.30969907407407404</v>
      </c>
      <c r="J527" s="43">
        <v>0.3</v>
      </c>
      <c r="K527" s="2">
        <f>I527-J527</f>
        <v>9.6990740740740544E-3</v>
      </c>
      <c r="L527" s="3"/>
      <c r="M527" s="4">
        <f>F527/I527</f>
        <v>0.11521787876522911</v>
      </c>
      <c r="N527" s="4">
        <f>I527/J527</f>
        <v>1.0323302469135802</v>
      </c>
    </row>
    <row r="528" spans="1:14" x14ac:dyDescent="0.3">
      <c r="A528" s="29">
        <v>46044</v>
      </c>
      <c r="B528" s="8">
        <f>YEAR(A528)</f>
        <v>2026</v>
      </c>
      <c r="C528" s="27" t="str">
        <f>TEXT(A528,"MMMM")</f>
        <v>janeiro</v>
      </c>
      <c r="D528" s="30" t="s">
        <v>25</v>
      </c>
      <c r="E528" s="30" t="s">
        <v>21</v>
      </c>
      <c r="F528" s="31">
        <v>5.078703703703704E-2</v>
      </c>
      <c r="G528" s="31">
        <v>0.33357638888888891</v>
      </c>
      <c r="H528" s="31">
        <v>0.63371527777777781</v>
      </c>
      <c r="I528" s="43">
        <f>H528-G528</f>
        <v>0.3001388888888889</v>
      </c>
      <c r="J528" s="43">
        <v>0.3</v>
      </c>
      <c r="K528" s="2">
        <f>I528-J528</f>
        <v>1.388888888889106E-4</v>
      </c>
      <c r="L528" s="3"/>
      <c r="M528" s="4">
        <f>F528/I528</f>
        <v>0.16921178466759218</v>
      </c>
      <c r="N528" s="4">
        <f>I528/J528</f>
        <v>1.0004629629629631</v>
      </c>
    </row>
    <row r="529" spans="1:14" x14ac:dyDescent="0.3">
      <c r="A529" s="29">
        <v>46044</v>
      </c>
      <c r="B529" s="8">
        <f>YEAR(A529)</f>
        <v>2026</v>
      </c>
      <c r="C529" s="27" t="str">
        <f>TEXT(A529,"MMMM")</f>
        <v>janeiro</v>
      </c>
      <c r="D529" s="30" t="s">
        <v>26</v>
      </c>
      <c r="E529" s="30" t="s">
        <v>15</v>
      </c>
      <c r="F529" s="31">
        <v>4.3993055555555556E-2</v>
      </c>
      <c r="G529" s="31">
        <v>0.33469907407407407</v>
      </c>
      <c r="H529" s="31">
        <v>0.63468749999999996</v>
      </c>
      <c r="I529" s="43">
        <f>H529-G529</f>
        <v>0.29998842592592589</v>
      </c>
      <c r="J529" s="43">
        <v>0.3</v>
      </c>
      <c r="K529" s="2"/>
      <c r="L529" s="3">
        <f>J529-I529</f>
        <v>1.1574074074094387E-5</v>
      </c>
      <c r="M529" s="4">
        <f>F529/I529</f>
        <v>0.14664917627994908</v>
      </c>
      <c r="N529" s="4">
        <f>I529/J529</f>
        <v>0.99996141975308639</v>
      </c>
    </row>
    <row r="530" spans="1:14" x14ac:dyDescent="0.3">
      <c r="A530" s="29">
        <v>46044</v>
      </c>
      <c r="B530" s="8">
        <f>YEAR(A530)</f>
        <v>2026</v>
      </c>
      <c r="C530" s="27" t="str">
        <f>TEXT(A530,"MMMM")</f>
        <v>janeiro</v>
      </c>
      <c r="D530" s="30" t="s">
        <v>27</v>
      </c>
      <c r="E530" s="30" t="s">
        <v>34</v>
      </c>
      <c r="F530" s="31">
        <v>2.4664351851851851E-2</v>
      </c>
      <c r="G530" s="31">
        <v>0.33391203703703703</v>
      </c>
      <c r="H530" s="31">
        <v>0.63890046296296299</v>
      </c>
      <c r="I530" s="43">
        <f>H530-G530</f>
        <v>0.30498842592592595</v>
      </c>
      <c r="J530" s="43">
        <v>0.3</v>
      </c>
      <c r="K530" s="2">
        <f>I530-J530</f>
        <v>4.9884259259259656E-3</v>
      </c>
      <c r="L530" s="3"/>
      <c r="M530" s="4">
        <f>F530/I530</f>
        <v>8.0869796212667433E-2</v>
      </c>
      <c r="N530" s="4">
        <f>I530/J530</f>
        <v>1.0166280864197532</v>
      </c>
    </row>
    <row r="531" spans="1:14" x14ac:dyDescent="0.3">
      <c r="A531" s="29">
        <v>46044</v>
      </c>
      <c r="B531" s="8">
        <f>YEAR(A531)</f>
        <v>2026</v>
      </c>
      <c r="C531" s="27" t="str">
        <f>TEXT(A531,"MMMM")</f>
        <v>janeiro</v>
      </c>
      <c r="D531" s="30" t="s">
        <v>68</v>
      </c>
      <c r="E531" s="30" t="s">
        <v>34</v>
      </c>
      <c r="F531" s="31">
        <v>5.153935185185185E-2</v>
      </c>
      <c r="G531" s="31">
        <v>0.45726851851851852</v>
      </c>
      <c r="H531" s="31">
        <v>0.75043981481481481</v>
      </c>
      <c r="I531" s="43">
        <f>H531-G531</f>
        <v>0.29317129629629629</v>
      </c>
      <c r="J531" s="43">
        <v>0.3</v>
      </c>
      <c r="K531" s="2"/>
      <c r="L531" s="3">
        <f>J531-I531</f>
        <v>6.8287037037036979E-3</v>
      </c>
      <c r="M531" s="4">
        <f>F531/I531</f>
        <v>0.1757994472956968</v>
      </c>
      <c r="N531" s="4">
        <f>I531/J531</f>
        <v>0.97723765432098764</v>
      </c>
    </row>
    <row r="532" spans="1:14" x14ac:dyDescent="0.3">
      <c r="A532" s="29">
        <v>46044</v>
      </c>
      <c r="B532" s="8">
        <f>YEAR(A532)</f>
        <v>2026</v>
      </c>
      <c r="C532" s="27" t="str">
        <f>TEXT(A532,"MMMM")</f>
        <v>janeiro</v>
      </c>
      <c r="D532" s="30" t="s">
        <v>32</v>
      </c>
      <c r="E532" s="30" t="s">
        <v>34</v>
      </c>
      <c r="F532" s="31">
        <v>4.2581018518518518E-2</v>
      </c>
      <c r="G532" s="31">
        <v>0.43791666666666668</v>
      </c>
      <c r="H532" s="31">
        <v>0.75033564814814813</v>
      </c>
      <c r="I532" s="43">
        <f>H532-G532</f>
        <v>0.31241898148148145</v>
      </c>
      <c r="J532" s="43">
        <v>0.3</v>
      </c>
      <c r="K532" s="2">
        <f>I532-J532</f>
        <v>1.2418981481481461E-2</v>
      </c>
      <c r="L532" s="3"/>
      <c r="M532" s="4">
        <f>F532/I532</f>
        <v>0.13629459489497278</v>
      </c>
      <c r="N532" s="4">
        <f>I532/J532</f>
        <v>1.0413966049382715</v>
      </c>
    </row>
    <row r="533" spans="1:14" x14ac:dyDescent="0.3">
      <c r="A533" s="29">
        <v>46044</v>
      </c>
      <c r="B533" s="8">
        <f>YEAR(A533)</f>
        <v>2026</v>
      </c>
      <c r="C533" s="27" t="str">
        <f>TEXT(A533,"MMMM")</f>
        <v>janeiro</v>
      </c>
      <c r="D533" s="30" t="s">
        <v>28</v>
      </c>
      <c r="E533" s="30" t="s">
        <v>14</v>
      </c>
      <c r="F533" s="31">
        <v>3.8182870370370367E-2</v>
      </c>
      <c r="G533" s="31">
        <v>0.45229166666666665</v>
      </c>
      <c r="H533" s="31">
        <v>0.75162037037037033</v>
      </c>
      <c r="I533" s="43">
        <f>H533-G533</f>
        <v>0.29932870370370368</v>
      </c>
      <c r="J533" s="43">
        <v>0.3</v>
      </c>
      <c r="K533" s="2"/>
      <c r="L533" s="3">
        <f>J533-I533</f>
        <v>6.7129629629630871E-4</v>
      </c>
      <c r="M533" s="4">
        <f>F533/I533</f>
        <v>0.12756167349779599</v>
      </c>
      <c r="N533" s="4">
        <f>I533/J533</f>
        <v>0.99776234567901234</v>
      </c>
    </row>
    <row r="534" spans="1:14" x14ac:dyDescent="0.3">
      <c r="A534" s="29">
        <v>46044</v>
      </c>
      <c r="B534" s="8">
        <f>YEAR(A534)</f>
        <v>2026</v>
      </c>
      <c r="C534" s="27" t="str">
        <f>TEXT(A534,"MMMM")</f>
        <v>janeiro</v>
      </c>
      <c r="D534" s="30" t="s">
        <v>29</v>
      </c>
      <c r="E534" s="30" t="s">
        <v>14</v>
      </c>
      <c r="F534" s="31">
        <v>4.3043981481481482E-2</v>
      </c>
      <c r="G534" s="31">
        <v>0.33353009259259259</v>
      </c>
      <c r="H534" s="31">
        <v>0.63490740740740736</v>
      </c>
      <c r="I534" s="43">
        <f>H534-G534</f>
        <v>0.30137731481481478</v>
      </c>
      <c r="J534" s="43">
        <v>0.3</v>
      </c>
      <c r="K534" s="2">
        <f>I534-J534</f>
        <v>1.3773148148147896E-3</v>
      </c>
      <c r="L534" s="3"/>
      <c r="M534" s="4">
        <f>F534/I534</f>
        <v>0.14282422520066057</v>
      </c>
      <c r="N534" s="4">
        <f>I534/J534</f>
        <v>1.0045910493827159</v>
      </c>
    </row>
    <row r="535" spans="1:14" x14ac:dyDescent="0.3">
      <c r="A535" s="29">
        <v>46045</v>
      </c>
      <c r="B535" s="8">
        <f>YEAR(A535)</f>
        <v>2026</v>
      </c>
      <c r="C535" s="27" t="str">
        <f>TEXT(A535,"MMMM")</f>
        <v>janeiro</v>
      </c>
      <c r="D535" s="30" t="s">
        <v>18</v>
      </c>
      <c r="E535" s="30" t="s">
        <v>14</v>
      </c>
      <c r="F535" s="31">
        <v>2.837962962962963E-2</v>
      </c>
      <c r="G535" s="31">
        <v>0.35913194444444446</v>
      </c>
      <c r="H535" s="31">
        <v>0.6340972222222222</v>
      </c>
      <c r="I535" s="43">
        <f>H535-G535</f>
        <v>0.27496527777777774</v>
      </c>
      <c r="J535" s="43">
        <v>0.3</v>
      </c>
      <c r="K535" s="2"/>
      <c r="L535" s="3">
        <f>J535-I535</f>
        <v>2.503472222222225E-2</v>
      </c>
      <c r="M535" s="4">
        <f>F535/I535</f>
        <v>0.1032116849770594</v>
      </c>
      <c r="N535" s="4">
        <f>I535/J535</f>
        <v>0.9165509259259258</v>
      </c>
    </row>
    <row r="536" spans="1:14" x14ac:dyDescent="0.3">
      <c r="A536" s="29">
        <v>46045</v>
      </c>
      <c r="B536" s="8">
        <f>YEAR(A536)</f>
        <v>2026</v>
      </c>
      <c r="C536" s="27" t="str">
        <f>TEXT(A536,"MMMM")</f>
        <v>janeiro</v>
      </c>
      <c r="D536" s="30" t="s">
        <v>19</v>
      </c>
      <c r="E536" s="30" t="s">
        <v>34</v>
      </c>
      <c r="F536" s="31">
        <v>5.334490740740741E-2</v>
      </c>
      <c r="G536" s="31">
        <v>0.34171296296296294</v>
      </c>
      <c r="H536" s="31">
        <v>0.6342592592592593</v>
      </c>
      <c r="I536" s="43">
        <f>H536-G536</f>
        <v>0.29254629629629636</v>
      </c>
      <c r="J536" s="43">
        <v>0.3</v>
      </c>
      <c r="K536" s="2"/>
      <c r="L536" s="3">
        <f>J536-I536</f>
        <v>7.4537037037036291E-3</v>
      </c>
      <c r="M536" s="4">
        <f>F536/I536</f>
        <v>0.1823468903307485</v>
      </c>
      <c r="N536" s="4">
        <f>I536/J536</f>
        <v>0.97515432098765453</v>
      </c>
    </row>
    <row r="537" spans="1:14" x14ac:dyDescent="0.3">
      <c r="A537" s="29">
        <v>46045</v>
      </c>
      <c r="B537" s="8">
        <f>YEAR(A537)</f>
        <v>2026</v>
      </c>
      <c r="C537" s="27" t="str">
        <f>TEXT(A537,"MMMM")</f>
        <v>janeiro</v>
      </c>
      <c r="D537" s="30" t="s">
        <v>69</v>
      </c>
      <c r="E537" s="30" t="s">
        <v>34</v>
      </c>
      <c r="F537" s="31">
        <v>7.4421296296296293E-3</v>
      </c>
      <c r="G537" s="31">
        <v>0.34072916666666669</v>
      </c>
      <c r="H537" s="31">
        <v>0.6333333333333333</v>
      </c>
      <c r="I537" s="43">
        <f>H537-G537</f>
        <v>0.29260416666666661</v>
      </c>
      <c r="J537" s="43">
        <v>0.3</v>
      </c>
      <c r="K537" s="2"/>
      <c r="L537" s="3">
        <f>J537-I537</f>
        <v>7.3958333333333792E-3</v>
      </c>
      <c r="M537" s="4">
        <f>F537/I537</f>
        <v>2.5434120485740282E-2</v>
      </c>
      <c r="N537" s="4">
        <f>I537/J537</f>
        <v>0.97534722222222203</v>
      </c>
    </row>
    <row r="538" spans="1:14" x14ac:dyDescent="0.3">
      <c r="A538" s="29">
        <v>46045</v>
      </c>
      <c r="B538" s="8">
        <f>YEAR(A538)</f>
        <v>2026</v>
      </c>
      <c r="C538" s="27" t="str">
        <f>TEXT(A538,"MMMM")</f>
        <v>janeiro</v>
      </c>
      <c r="D538" s="30" t="s">
        <v>33</v>
      </c>
      <c r="E538" s="30" t="s">
        <v>34</v>
      </c>
      <c r="F538" s="31">
        <v>3.9131944444444441E-2</v>
      </c>
      <c r="G538" s="31">
        <v>0.33333333333333331</v>
      </c>
      <c r="H538" s="31">
        <v>0.63416666666666666</v>
      </c>
      <c r="I538" s="43">
        <f>H538-G538</f>
        <v>0.30083333333333334</v>
      </c>
      <c r="J538" s="43">
        <v>0.3</v>
      </c>
      <c r="K538" s="2">
        <f>I538-J538</f>
        <v>8.3333333333335258E-4</v>
      </c>
      <c r="L538" s="3"/>
      <c r="M538" s="4">
        <f>F538/I538</f>
        <v>0.13007848568790395</v>
      </c>
      <c r="N538" s="4">
        <f>I538/J538</f>
        <v>1.0027777777777778</v>
      </c>
    </row>
    <row r="539" spans="1:14" x14ac:dyDescent="0.3">
      <c r="A539" s="29">
        <v>46045</v>
      </c>
      <c r="B539" s="8">
        <f>YEAR(A539)</f>
        <v>2026</v>
      </c>
      <c r="C539" s="27" t="str">
        <f>TEXT(A539,"MMMM")</f>
        <v>janeiro</v>
      </c>
      <c r="D539" s="30" t="s">
        <v>24</v>
      </c>
      <c r="E539" s="30" t="s">
        <v>14</v>
      </c>
      <c r="F539" s="31">
        <v>3.7013888888888888E-2</v>
      </c>
      <c r="G539" s="31">
        <v>0.44348379629629631</v>
      </c>
      <c r="H539" s="31">
        <v>0.71718749999999998</v>
      </c>
      <c r="I539" s="43">
        <f>H539-G539</f>
        <v>0.27370370370370367</v>
      </c>
      <c r="J539" s="43">
        <v>0.3</v>
      </c>
      <c r="K539" s="2"/>
      <c r="L539" s="3">
        <f>J539-I539</f>
        <v>2.6296296296296318E-2</v>
      </c>
      <c r="M539" s="4">
        <f>F539/I539</f>
        <v>0.13523342354533155</v>
      </c>
      <c r="N539" s="4">
        <f>I539/J539</f>
        <v>0.91234567901234565</v>
      </c>
    </row>
    <row r="540" spans="1:14" x14ac:dyDescent="0.3">
      <c r="A540" s="29">
        <v>46045</v>
      </c>
      <c r="B540" s="8">
        <f>YEAR(A540)</f>
        <v>2026</v>
      </c>
      <c r="C540" s="27" t="str">
        <f>TEXT(A540,"MMMM")</f>
        <v>janeiro</v>
      </c>
      <c r="D540" s="30" t="s">
        <v>25</v>
      </c>
      <c r="E540" s="30" t="s">
        <v>21</v>
      </c>
      <c r="F540" s="31">
        <v>4.7037037037037037E-2</v>
      </c>
      <c r="G540" s="31">
        <v>0.33357638888888891</v>
      </c>
      <c r="H540" s="31">
        <v>0.63372685185185185</v>
      </c>
      <c r="I540" s="43">
        <f>H540-G540</f>
        <v>0.30015046296296294</v>
      </c>
      <c r="J540" s="43">
        <v>0.3</v>
      </c>
      <c r="K540" s="2">
        <f>I540-J540</f>
        <v>1.5046296296294948E-4</v>
      </c>
      <c r="L540" s="3"/>
      <c r="M540" s="4">
        <f>F540/I540</f>
        <v>0.15671152585508813</v>
      </c>
      <c r="N540" s="4">
        <f>I540/J540</f>
        <v>1.0005015432098765</v>
      </c>
    </row>
    <row r="541" spans="1:14" x14ac:dyDescent="0.3">
      <c r="A541" s="29">
        <v>46045</v>
      </c>
      <c r="B541" s="8">
        <f>YEAR(A541)</f>
        <v>2026</v>
      </c>
      <c r="C541" s="27" t="str">
        <f>TEXT(A541,"MMMM")</f>
        <v>janeiro</v>
      </c>
      <c r="D541" s="30" t="s">
        <v>26</v>
      </c>
      <c r="E541" s="30" t="s">
        <v>15</v>
      </c>
      <c r="F541" s="31">
        <v>2.7384259259259261E-2</v>
      </c>
      <c r="G541" s="31">
        <v>0.5242013888888889</v>
      </c>
      <c r="H541" s="31">
        <v>0.72151620370370373</v>
      </c>
      <c r="I541" s="43">
        <f>H541-G541</f>
        <v>0.19731481481481483</v>
      </c>
      <c r="J541" s="43">
        <v>0.3</v>
      </c>
      <c r="K541" s="2"/>
      <c r="L541" s="3">
        <f>J541-I541</f>
        <v>0.10268518518518516</v>
      </c>
      <c r="M541" s="4">
        <f>F541/I541</f>
        <v>0.13878460816518065</v>
      </c>
      <c r="N541" s="4">
        <f>I541/J541</f>
        <v>0.65771604938271611</v>
      </c>
    </row>
    <row r="542" spans="1:14" x14ac:dyDescent="0.3">
      <c r="A542" s="29">
        <v>46045</v>
      </c>
      <c r="B542" s="8">
        <f>YEAR(A542)</f>
        <v>2026</v>
      </c>
      <c r="C542" s="27" t="str">
        <f>TEXT(A542,"MMMM")</f>
        <v>janeiro</v>
      </c>
      <c r="D542" s="30" t="s">
        <v>27</v>
      </c>
      <c r="E542" s="30" t="s">
        <v>34</v>
      </c>
      <c r="F542" s="31">
        <v>9.1435185185185178E-3</v>
      </c>
      <c r="G542" s="31">
        <v>0.3341898148148148</v>
      </c>
      <c r="H542" s="31">
        <v>0.65123842592592596</v>
      </c>
      <c r="I542" s="43">
        <f>H542-G542</f>
        <v>0.31704861111111116</v>
      </c>
      <c r="J542" s="43">
        <v>0.3</v>
      </c>
      <c r="K542" s="2">
        <f>I542-J542</f>
        <v>1.7048611111111167E-2</v>
      </c>
      <c r="L542" s="3"/>
      <c r="M542" s="4">
        <f>F542/I542</f>
        <v>2.8839484539845941E-2</v>
      </c>
      <c r="N542" s="4">
        <f>I542/J542</f>
        <v>1.0568287037037039</v>
      </c>
    </row>
    <row r="543" spans="1:14" x14ac:dyDescent="0.3">
      <c r="A543" s="29">
        <v>46045</v>
      </c>
      <c r="B543" s="8">
        <f>YEAR(A543)</f>
        <v>2026</v>
      </c>
      <c r="C543" s="27" t="str">
        <f>TEXT(A543,"MMMM")</f>
        <v>janeiro</v>
      </c>
      <c r="D543" s="30" t="s">
        <v>68</v>
      </c>
      <c r="E543" s="30" t="s">
        <v>34</v>
      </c>
      <c r="F543" s="31">
        <v>4.494212962962963E-2</v>
      </c>
      <c r="G543" s="31">
        <v>0.44851851851851854</v>
      </c>
      <c r="H543" s="31">
        <v>0.75035879629629632</v>
      </c>
      <c r="I543" s="43">
        <f>H543-G543</f>
        <v>0.30184027777777778</v>
      </c>
      <c r="J543" s="43">
        <v>0.3</v>
      </c>
      <c r="K543" s="2">
        <f>I543-J543</f>
        <v>1.8402777777777879E-3</v>
      </c>
      <c r="L543" s="3"/>
      <c r="M543" s="4">
        <f>F543/I543</f>
        <v>0.14889374592584073</v>
      </c>
      <c r="N543" s="4">
        <f>I543/J543</f>
        <v>1.0061342592592593</v>
      </c>
    </row>
    <row r="544" spans="1:14" x14ac:dyDescent="0.3">
      <c r="A544" s="29">
        <v>46045</v>
      </c>
      <c r="B544" s="8">
        <f>YEAR(A544)</f>
        <v>2026</v>
      </c>
      <c r="C544" s="27" t="str">
        <f>TEXT(A544,"MMMM")</f>
        <v>janeiro</v>
      </c>
      <c r="D544" s="30" t="s">
        <v>32</v>
      </c>
      <c r="E544" s="30" t="s">
        <v>34</v>
      </c>
      <c r="F544" s="31">
        <v>4.5590277777777778E-2</v>
      </c>
      <c r="G544" s="31">
        <v>0.43968750000000001</v>
      </c>
      <c r="H544" s="31">
        <v>0.75108796296296299</v>
      </c>
      <c r="I544" s="43">
        <f>H544-G544</f>
        <v>0.31140046296296298</v>
      </c>
      <c r="J544" s="43">
        <v>0.3</v>
      </c>
      <c r="K544" s="2">
        <f>I544-J544</f>
        <v>1.1400462962962987E-2</v>
      </c>
      <c r="L544" s="3"/>
      <c r="M544" s="4">
        <f>F544/I544</f>
        <v>0.1464040141237688</v>
      </c>
      <c r="N544" s="4">
        <f>I544/J544</f>
        <v>1.0380015432098766</v>
      </c>
    </row>
    <row r="545" spans="1:14" x14ac:dyDescent="0.3">
      <c r="A545" s="29">
        <v>46045</v>
      </c>
      <c r="B545" s="8">
        <f>YEAR(A545)</f>
        <v>2026</v>
      </c>
      <c r="C545" s="27" t="str">
        <f>TEXT(A545,"MMMM")</f>
        <v>janeiro</v>
      </c>
      <c r="D545" s="30" t="s">
        <v>28</v>
      </c>
      <c r="E545" s="30" t="s">
        <v>14</v>
      </c>
      <c r="F545" s="31">
        <v>3.4178240740740738E-2</v>
      </c>
      <c r="G545" s="31">
        <v>0.4243865740740741</v>
      </c>
      <c r="H545" s="31">
        <v>0.72526620370370365</v>
      </c>
      <c r="I545" s="43">
        <f>H545-G545</f>
        <v>0.30087962962962955</v>
      </c>
      <c r="J545" s="43">
        <v>0.3</v>
      </c>
      <c r="K545" s="2">
        <f>I545-J545</f>
        <v>8.7962962962956359E-4</v>
      </c>
      <c r="L545" s="3"/>
      <c r="M545" s="4">
        <f>F545/I545</f>
        <v>0.113594399138329</v>
      </c>
      <c r="N545" s="4">
        <f>I545/J545</f>
        <v>1.002932098765432</v>
      </c>
    </row>
    <row r="546" spans="1:14" x14ac:dyDescent="0.3">
      <c r="A546" s="29">
        <v>46045</v>
      </c>
      <c r="B546" s="8">
        <f>YEAR(A546)</f>
        <v>2026</v>
      </c>
      <c r="C546" s="27" t="str">
        <f>TEXT(A546,"MMMM")</f>
        <v>janeiro</v>
      </c>
      <c r="D546" s="30" t="s">
        <v>29</v>
      </c>
      <c r="E546" s="30" t="s">
        <v>14</v>
      </c>
      <c r="F546" s="31">
        <v>2.6909722222222224E-2</v>
      </c>
      <c r="G546" s="31">
        <v>0.33805555555555555</v>
      </c>
      <c r="H546" s="31">
        <v>0.63590277777777782</v>
      </c>
      <c r="I546" s="43">
        <f>H546-G546</f>
        <v>0.29784722222222226</v>
      </c>
      <c r="J546" s="43">
        <v>0.3</v>
      </c>
      <c r="K546" s="2"/>
      <c r="L546" s="3">
        <f>J546-I546</f>
        <v>2.1527777777777257E-3</v>
      </c>
      <c r="M546" s="4">
        <f>F546/I546</f>
        <v>9.0347400326416402E-2</v>
      </c>
      <c r="N546" s="4">
        <f>I546/J546</f>
        <v>0.99282407407407425</v>
      </c>
    </row>
    <row r="547" spans="1:14" x14ac:dyDescent="0.3">
      <c r="A547" s="29">
        <v>46048</v>
      </c>
      <c r="B547" s="8">
        <f>YEAR(A547)</f>
        <v>2026</v>
      </c>
      <c r="C547" s="27" t="str">
        <f>TEXT(A547,"MMMM")</f>
        <v>janeiro</v>
      </c>
      <c r="D547" s="30" t="s">
        <v>47</v>
      </c>
      <c r="E547" s="30" t="s">
        <v>21</v>
      </c>
      <c r="F547" s="31">
        <v>4.5763888888888889E-2</v>
      </c>
      <c r="G547" s="31">
        <v>0.50391203703703702</v>
      </c>
      <c r="H547" s="31">
        <v>0.75013888888888891</v>
      </c>
      <c r="I547" s="43">
        <f>H547-G547</f>
        <v>0.24622685185185189</v>
      </c>
      <c r="J547" s="43">
        <v>0.25</v>
      </c>
      <c r="K547" s="2"/>
      <c r="L547" s="3">
        <f>J547-I547</f>
        <v>3.7731481481481088E-3</v>
      </c>
      <c r="M547" s="4">
        <f>F547/I547</f>
        <v>0.18586067500235026</v>
      </c>
      <c r="N547" s="4">
        <f>I547/J547</f>
        <v>0.98490740740740756</v>
      </c>
    </row>
    <row r="548" spans="1:14" x14ac:dyDescent="0.3">
      <c r="A548" s="29">
        <v>46048</v>
      </c>
      <c r="B548" s="8">
        <f>YEAR(A548)</f>
        <v>2026</v>
      </c>
      <c r="C548" s="27" t="str">
        <f>TEXT(A548,"MMMM")</f>
        <v>janeiro</v>
      </c>
      <c r="D548" s="30" t="s">
        <v>18</v>
      </c>
      <c r="E548" s="30" t="s">
        <v>14</v>
      </c>
      <c r="F548" s="31">
        <v>3.2314814814814817E-2</v>
      </c>
      <c r="G548" s="31">
        <v>0.37201388888888887</v>
      </c>
      <c r="H548" s="31">
        <v>0.67545138888888889</v>
      </c>
      <c r="I548" s="43">
        <f>H548-G548</f>
        <v>0.30343750000000003</v>
      </c>
      <c r="J548" s="43">
        <v>0.3</v>
      </c>
      <c r="K548" s="2">
        <f>I548-J548</f>
        <v>3.4375000000000377E-3</v>
      </c>
      <c r="L548" s="3"/>
      <c r="M548" s="4">
        <f>F548/I548</f>
        <v>0.10649578517755655</v>
      </c>
      <c r="N548" s="4">
        <f>I548/J548</f>
        <v>1.0114583333333336</v>
      </c>
    </row>
    <row r="549" spans="1:14" x14ac:dyDescent="0.3">
      <c r="A549" s="29">
        <v>46048</v>
      </c>
      <c r="B549" s="8">
        <f>YEAR(A549)</f>
        <v>2026</v>
      </c>
      <c r="C549" s="27" t="str">
        <f>TEXT(A549,"MMMM")</f>
        <v>janeiro</v>
      </c>
      <c r="D549" s="30" t="s">
        <v>19</v>
      </c>
      <c r="E549" s="30" t="s">
        <v>34</v>
      </c>
      <c r="F549" s="31">
        <v>5.4756944444444441E-2</v>
      </c>
      <c r="G549" s="31">
        <v>0.33369212962962963</v>
      </c>
      <c r="H549" s="31">
        <v>0.63361111111111112</v>
      </c>
      <c r="I549" s="43">
        <f>H549-G549</f>
        <v>0.29991898148148149</v>
      </c>
      <c r="J549" s="43">
        <v>0.3</v>
      </c>
      <c r="K549" s="2"/>
      <c r="L549" s="3">
        <f>J549-I549</f>
        <v>8.1018518518494176E-5</v>
      </c>
      <c r="M549" s="4">
        <f>F549/I549</f>
        <v>0.18257245398062746</v>
      </c>
      <c r="N549" s="4">
        <f>I549/J549</f>
        <v>0.99972993827160506</v>
      </c>
    </row>
    <row r="550" spans="1:14" x14ac:dyDescent="0.3">
      <c r="A550" s="29">
        <v>46048</v>
      </c>
      <c r="B550" s="8">
        <f>YEAR(A550)</f>
        <v>2026</v>
      </c>
      <c r="C550" s="27" t="str">
        <f>TEXT(A550,"MMMM")</f>
        <v>janeiro</v>
      </c>
      <c r="D550" s="30" t="s">
        <v>69</v>
      </c>
      <c r="E550" s="30" t="s">
        <v>34</v>
      </c>
      <c r="F550" s="31">
        <v>1.2789351851851852E-2</v>
      </c>
      <c r="G550" s="31">
        <v>0.33811342592592591</v>
      </c>
      <c r="H550" s="31">
        <v>0.6333333333333333</v>
      </c>
      <c r="I550" s="43">
        <f>H550-G550</f>
        <v>0.29521990740740739</v>
      </c>
      <c r="J550" s="43">
        <v>0.3</v>
      </c>
      <c r="K550" s="2"/>
      <c r="L550" s="3">
        <f>J550-I550</f>
        <v>4.7800925925925997E-3</v>
      </c>
      <c r="M550" s="4">
        <f>F550/I550</f>
        <v>4.3321441173011337E-2</v>
      </c>
      <c r="N550" s="4">
        <f>I550/J550</f>
        <v>0.98406635802469133</v>
      </c>
    </row>
    <row r="551" spans="1:14" x14ac:dyDescent="0.3">
      <c r="A551" s="29">
        <v>46048</v>
      </c>
      <c r="B551" s="8">
        <f>YEAR(A551)</f>
        <v>2026</v>
      </c>
      <c r="C551" s="27" t="str">
        <f>TEXT(A551,"MMMM")</f>
        <v>janeiro</v>
      </c>
      <c r="D551" s="30" t="s">
        <v>33</v>
      </c>
      <c r="E551" s="30" t="s">
        <v>34</v>
      </c>
      <c r="F551" s="31">
        <v>3.3877314814814811E-2</v>
      </c>
      <c r="G551" s="31">
        <v>0.3333564814814815</v>
      </c>
      <c r="H551" s="31">
        <v>0.63472222222222219</v>
      </c>
      <c r="I551" s="43">
        <f>H551-G551</f>
        <v>0.30136574074074068</v>
      </c>
      <c r="J551" s="43">
        <v>0.3</v>
      </c>
      <c r="K551" s="2">
        <f>I551-J551</f>
        <v>1.3657407407406952E-3</v>
      </c>
      <c r="L551" s="3"/>
      <c r="M551" s="4">
        <f>F551/I551</f>
        <v>0.11241262769797988</v>
      </c>
      <c r="N551" s="4">
        <f>I551/J551</f>
        <v>1.0045524691358023</v>
      </c>
    </row>
    <row r="552" spans="1:14" x14ac:dyDescent="0.3">
      <c r="A552" s="29">
        <v>46048</v>
      </c>
      <c r="B552" s="8">
        <f>YEAR(A552)</f>
        <v>2026</v>
      </c>
      <c r="C552" s="27" t="str">
        <f>TEXT(A552,"MMMM")</f>
        <v>janeiro</v>
      </c>
      <c r="D552" s="30" t="s">
        <v>24</v>
      </c>
      <c r="E552" s="30" t="s">
        <v>14</v>
      </c>
      <c r="F552" s="31">
        <v>3.7638888888888888E-2</v>
      </c>
      <c r="G552" s="31">
        <v>0.41543981481481479</v>
      </c>
      <c r="H552" s="31">
        <v>0.75101851851851853</v>
      </c>
      <c r="I552" s="43">
        <f>H552-G552</f>
        <v>0.33557870370370374</v>
      </c>
      <c r="J552" s="43">
        <v>0.3</v>
      </c>
      <c r="K552" s="2">
        <f>I552-J552</f>
        <v>3.5578703703703751E-2</v>
      </c>
      <c r="L552" s="3"/>
      <c r="M552" s="4">
        <f>F552/I552</f>
        <v>0.11216113678692141</v>
      </c>
      <c r="N552" s="4">
        <f>I552/J552</f>
        <v>1.1185956790123459</v>
      </c>
    </row>
    <row r="553" spans="1:14" x14ac:dyDescent="0.3">
      <c r="A553" s="29">
        <v>46048</v>
      </c>
      <c r="B553" s="8">
        <f>YEAR(A553)</f>
        <v>2026</v>
      </c>
      <c r="C553" s="27" t="str">
        <f>TEXT(A553,"MMMM")</f>
        <v>janeiro</v>
      </c>
      <c r="D553" s="30" t="s">
        <v>25</v>
      </c>
      <c r="E553" s="30" t="s">
        <v>21</v>
      </c>
      <c r="F553" s="31">
        <v>4.8333333333333332E-2</v>
      </c>
      <c r="G553" s="31">
        <v>0.33344907407407409</v>
      </c>
      <c r="H553" s="31">
        <v>0.63717592592592598</v>
      </c>
      <c r="I553" s="43">
        <f>H553-G553</f>
        <v>0.30372685185185189</v>
      </c>
      <c r="J553" s="43">
        <v>0.3</v>
      </c>
      <c r="K553" s="2">
        <f>I553-J553</f>
        <v>3.7268518518518978E-3</v>
      </c>
      <c r="L553" s="3"/>
      <c r="M553" s="4">
        <f>F553/I553</f>
        <v>0.15913421233137717</v>
      </c>
      <c r="N553" s="4">
        <f>I553/J553</f>
        <v>1.012422839506173</v>
      </c>
    </row>
    <row r="554" spans="1:14" x14ac:dyDescent="0.3">
      <c r="A554" s="29">
        <v>46048</v>
      </c>
      <c r="B554" s="8">
        <f>YEAR(A554)</f>
        <v>2026</v>
      </c>
      <c r="C554" s="27" t="str">
        <f>TEXT(A554,"MMMM")</f>
        <v>janeiro</v>
      </c>
      <c r="D554" s="30" t="s">
        <v>26</v>
      </c>
      <c r="E554" s="30" t="s">
        <v>15</v>
      </c>
      <c r="F554" s="31">
        <v>3.8229166666666668E-2</v>
      </c>
      <c r="G554" s="31">
        <v>0.33340277777777777</v>
      </c>
      <c r="H554" s="31">
        <v>0.63548611111111108</v>
      </c>
      <c r="I554" s="43">
        <f>H554-G554</f>
        <v>0.30208333333333331</v>
      </c>
      <c r="J554" s="43">
        <v>0.3</v>
      </c>
      <c r="K554" s="2">
        <f>I554-J554</f>
        <v>2.0833333333333259E-3</v>
      </c>
      <c r="L554" s="3"/>
      <c r="M554" s="4">
        <f>F554/I554</f>
        <v>0.12655172413793106</v>
      </c>
      <c r="N554" s="4">
        <f>I554/J554</f>
        <v>1.0069444444444444</v>
      </c>
    </row>
    <row r="555" spans="1:14" x14ac:dyDescent="0.3">
      <c r="A555" s="29">
        <v>46048</v>
      </c>
      <c r="B555" s="8">
        <f>YEAR(A555)</f>
        <v>2026</v>
      </c>
      <c r="C555" s="27" t="str">
        <f>TEXT(A555,"MMMM")</f>
        <v>janeiro</v>
      </c>
      <c r="D555" s="30" t="s">
        <v>27</v>
      </c>
      <c r="E555" s="30" t="s">
        <v>34</v>
      </c>
      <c r="F555" s="31">
        <v>3.2256944444444442E-2</v>
      </c>
      <c r="G555" s="31">
        <v>0.33390046296296294</v>
      </c>
      <c r="H555" s="31">
        <v>0.63770833333333332</v>
      </c>
      <c r="I555" s="43">
        <f>H555-G555</f>
        <v>0.30380787037037038</v>
      </c>
      <c r="J555" s="43">
        <v>0.3</v>
      </c>
      <c r="K555" s="2">
        <f>I555-J555</f>
        <v>3.807870370370392E-3</v>
      </c>
      <c r="L555" s="3"/>
      <c r="M555" s="4">
        <f>F555/I555</f>
        <v>0.10617547335136576</v>
      </c>
      <c r="N555" s="4">
        <f>I555/J555</f>
        <v>1.012692901234568</v>
      </c>
    </row>
    <row r="556" spans="1:14" x14ac:dyDescent="0.3">
      <c r="A556" s="29">
        <v>46048</v>
      </c>
      <c r="B556" s="8">
        <f>YEAR(A556)</f>
        <v>2026</v>
      </c>
      <c r="C556" s="27" t="str">
        <f>TEXT(A556,"MMMM")</f>
        <v>janeiro</v>
      </c>
      <c r="D556" s="30" t="s">
        <v>68</v>
      </c>
      <c r="E556" s="30" t="s">
        <v>34</v>
      </c>
      <c r="F556" s="31">
        <v>4.3437499999999997E-2</v>
      </c>
      <c r="G556" s="31">
        <v>0.47143518518518518</v>
      </c>
      <c r="H556" s="31">
        <v>0.75037037037037035</v>
      </c>
      <c r="I556" s="43">
        <f>H556-G556</f>
        <v>0.27893518518518517</v>
      </c>
      <c r="J556" s="43">
        <v>0.3</v>
      </c>
      <c r="K556" s="2"/>
      <c r="L556" s="3">
        <f>J556-I556</f>
        <v>2.1064814814814814E-2</v>
      </c>
      <c r="M556" s="4">
        <f>F556/I556</f>
        <v>0.15572614107883817</v>
      </c>
      <c r="N556" s="4">
        <f>I556/J556</f>
        <v>0.92978395061728392</v>
      </c>
    </row>
    <row r="557" spans="1:14" x14ac:dyDescent="0.3">
      <c r="A557" s="29">
        <v>46048</v>
      </c>
      <c r="B557" s="8">
        <f>YEAR(A557)</f>
        <v>2026</v>
      </c>
      <c r="C557" s="27" t="str">
        <f>TEXT(A557,"MMMM")</f>
        <v>janeiro</v>
      </c>
      <c r="D557" s="30" t="s">
        <v>32</v>
      </c>
      <c r="E557" s="30" t="s">
        <v>34</v>
      </c>
      <c r="F557" s="31">
        <v>4.3564814814814813E-2</v>
      </c>
      <c r="G557" s="31">
        <v>0.46039351851851851</v>
      </c>
      <c r="H557" s="31">
        <v>0.75012731481481476</v>
      </c>
      <c r="I557" s="43">
        <f>H557-G557</f>
        <v>0.28973379629629625</v>
      </c>
      <c r="J557" s="43">
        <v>0.3</v>
      </c>
      <c r="K557" s="2"/>
      <c r="L557" s="3">
        <f>J557-I557</f>
        <v>1.0266203703703736E-2</v>
      </c>
      <c r="M557" s="4">
        <f>F557/I557</f>
        <v>0.15036152278991732</v>
      </c>
      <c r="N557" s="4">
        <f>I557/J557</f>
        <v>0.96577932098765418</v>
      </c>
    </row>
    <row r="558" spans="1:14" x14ac:dyDescent="0.3">
      <c r="A558" s="29">
        <v>46048</v>
      </c>
      <c r="B558" s="8">
        <f>YEAR(A558)</f>
        <v>2026</v>
      </c>
      <c r="C558" s="27" t="str">
        <f>TEXT(A558,"MMMM")</f>
        <v>janeiro</v>
      </c>
      <c r="D558" s="30" t="s">
        <v>30</v>
      </c>
      <c r="E558" s="30" t="s">
        <v>34</v>
      </c>
      <c r="F558" s="31">
        <v>5.3796296296296293E-2</v>
      </c>
      <c r="G558" s="31">
        <v>0.33413194444444444</v>
      </c>
      <c r="H558" s="31">
        <v>0.6337962962962963</v>
      </c>
      <c r="I558" s="43">
        <f>H558-G558</f>
        <v>0.29966435185185186</v>
      </c>
      <c r="J558" s="43">
        <v>0.3</v>
      </c>
      <c r="K558" s="2"/>
      <c r="L558" s="3">
        <f>J558-I558</f>
        <v>3.356481481481266E-4</v>
      </c>
      <c r="M558" s="4">
        <f>F558/I558</f>
        <v>0.17952184156656753</v>
      </c>
      <c r="N558" s="4">
        <f>I558/J558</f>
        <v>0.99888117283950628</v>
      </c>
    </row>
    <row r="559" spans="1:14" x14ac:dyDescent="0.3">
      <c r="A559" s="29">
        <v>46048</v>
      </c>
      <c r="B559" s="8">
        <f>YEAR(A559)</f>
        <v>2026</v>
      </c>
      <c r="C559" s="27" t="str">
        <f>TEXT(A559,"MMMM")</f>
        <v>janeiro</v>
      </c>
      <c r="D559" s="30" t="s">
        <v>28</v>
      </c>
      <c r="E559" s="30" t="s">
        <v>14</v>
      </c>
      <c r="F559" s="31">
        <v>0</v>
      </c>
      <c r="G559" s="31">
        <v>0.43164351851851851</v>
      </c>
      <c r="H559" s="31">
        <v>0.72171296296296295</v>
      </c>
      <c r="I559" s="43">
        <f>H559-G559</f>
        <v>0.29006944444444444</v>
      </c>
      <c r="J559" s="43">
        <v>0.3</v>
      </c>
      <c r="K559" s="2"/>
      <c r="L559" s="3">
        <f>J559-I559</f>
        <v>9.9305555555555536E-3</v>
      </c>
      <c r="M559" s="4">
        <f>F559/I559</f>
        <v>0</v>
      </c>
      <c r="N559" s="4">
        <f>I559/J559</f>
        <v>0.96689814814814812</v>
      </c>
    </row>
    <row r="560" spans="1:14" x14ac:dyDescent="0.3">
      <c r="A560" s="29">
        <v>46048</v>
      </c>
      <c r="B560" s="8">
        <f>YEAR(A560)</f>
        <v>2026</v>
      </c>
      <c r="C560" s="27" t="str">
        <f>TEXT(A560,"MMMM")</f>
        <v>janeiro</v>
      </c>
      <c r="D560" s="30" t="s">
        <v>29</v>
      </c>
      <c r="E560" s="30" t="s">
        <v>14</v>
      </c>
      <c r="F560" s="31">
        <v>3.9872685185185185E-2</v>
      </c>
      <c r="G560" s="31">
        <v>0.3601273148148148</v>
      </c>
      <c r="H560" s="31">
        <v>0.65278935185185183</v>
      </c>
      <c r="I560" s="43">
        <f>H560-G560</f>
        <v>0.29266203703703703</v>
      </c>
      <c r="J560" s="43">
        <v>0.3</v>
      </c>
      <c r="K560" s="2"/>
      <c r="L560" s="3">
        <f>J560-I560</f>
        <v>7.3379629629629628E-3</v>
      </c>
      <c r="M560" s="4">
        <f>F560/I560</f>
        <v>0.13624139840227795</v>
      </c>
      <c r="N560" s="4">
        <f>I560/J560</f>
        <v>0.97554012345679009</v>
      </c>
    </row>
    <row r="561" spans="1:14" x14ac:dyDescent="0.3">
      <c r="A561" s="29">
        <v>46049</v>
      </c>
      <c r="B561" s="8">
        <f>YEAR(A561)</f>
        <v>2026</v>
      </c>
      <c r="C561" s="27" t="str">
        <f>TEXT(A561,"MMMM")</f>
        <v>janeiro</v>
      </c>
      <c r="D561" s="30" t="s">
        <v>47</v>
      </c>
      <c r="E561" s="30" t="s">
        <v>21</v>
      </c>
      <c r="F561" s="31">
        <v>4.1574074074074076E-2</v>
      </c>
      <c r="G561" s="31">
        <v>0.51909722222222221</v>
      </c>
      <c r="H561" s="31">
        <v>0.75016203703703699</v>
      </c>
      <c r="I561" s="43">
        <f>H561-G561</f>
        <v>0.23106481481481478</v>
      </c>
      <c r="J561" s="43">
        <v>0.25</v>
      </c>
      <c r="K561" s="2"/>
      <c r="L561" s="3">
        <f>J561-I561</f>
        <v>1.8935185185185222E-2</v>
      </c>
      <c r="M561" s="4">
        <f>F561/I561</f>
        <v>0.179923862953316</v>
      </c>
      <c r="N561" s="4">
        <f>I561/J561</f>
        <v>0.92425925925925911</v>
      </c>
    </row>
    <row r="562" spans="1:14" x14ac:dyDescent="0.3">
      <c r="A562" s="29">
        <v>46049</v>
      </c>
      <c r="B562" s="8">
        <f>YEAR(A562)</f>
        <v>2026</v>
      </c>
      <c r="C562" s="27" t="str">
        <f>TEXT(A562,"MMMM")</f>
        <v>janeiro</v>
      </c>
      <c r="D562" s="30" t="s">
        <v>19</v>
      </c>
      <c r="E562" s="30" t="s">
        <v>34</v>
      </c>
      <c r="F562" s="31">
        <v>4.1747685185185186E-2</v>
      </c>
      <c r="G562" s="31">
        <v>0.38489583333333333</v>
      </c>
      <c r="H562" s="31">
        <v>0.63408564814814816</v>
      </c>
      <c r="I562" s="43">
        <f>H562-G562</f>
        <v>0.24918981481481484</v>
      </c>
      <c r="J562" s="43">
        <v>0.3</v>
      </c>
      <c r="K562" s="2"/>
      <c r="L562" s="3">
        <f>J562-I562</f>
        <v>5.0810185185185153E-2</v>
      </c>
      <c r="M562" s="4">
        <f>F562/I562</f>
        <v>0.16753367394333488</v>
      </c>
      <c r="N562" s="4">
        <f>I562/J562</f>
        <v>0.83063271604938282</v>
      </c>
    </row>
    <row r="563" spans="1:14" x14ac:dyDescent="0.3">
      <c r="A563" s="29">
        <v>46049</v>
      </c>
      <c r="B563" s="8">
        <f>YEAR(A563)</f>
        <v>2026</v>
      </c>
      <c r="C563" s="27" t="str">
        <f>TEXT(A563,"MMMM")</f>
        <v>janeiro</v>
      </c>
      <c r="D563" s="30" t="s">
        <v>69</v>
      </c>
      <c r="E563" s="30" t="s">
        <v>34</v>
      </c>
      <c r="F563" s="31">
        <v>1.982638888888889E-2</v>
      </c>
      <c r="G563" s="31">
        <v>0.39709490740740738</v>
      </c>
      <c r="H563" s="31">
        <v>0.63399305555555552</v>
      </c>
      <c r="I563" s="43">
        <f>H563-G563</f>
        <v>0.23689814814814814</v>
      </c>
      <c r="J563" s="43">
        <v>0.3</v>
      </c>
      <c r="K563" s="2"/>
      <c r="L563" s="3">
        <f>J563-I563</f>
        <v>6.3101851851851853E-2</v>
      </c>
      <c r="M563" s="4">
        <f>F563/I563</f>
        <v>8.3691616181356274E-2</v>
      </c>
      <c r="N563" s="4">
        <f>I563/J563</f>
        <v>0.78966049382716053</v>
      </c>
    </row>
    <row r="564" spans="1:14" x14ac:dyDescent="0.3">
      <c r="A564" s="29">
        <v>46049</v>
      </c>
      <c r="B564" s="8">
        <f>YEAR(A564)</f>
        <v>2026</v>
      </c>
      <c r="C564" s="27" t="str">
        <f>TEXT(A564,"MMMM")</f>
        <v>janeiro</v>
      </c>
      <c r="D564" s="30" t="s">
        <v>33</v>
      </c>
      <c r="E564" s="30" t="s">
        <v>34</v>
      </c>
      <c r="F564" s="31">
        <v>3.7048611111111109E-2</v>
      </c>
      <c r="G564" s="31">
        <v>0.33450231481481479</v>
      </c>
      <c r="H564" s="31">
        <v>0.63399305555555552</v>
      </c>
      <c r="I564" s="43">
        <f>H564-G564</f>
        <v>0.29949074074074072</v>
      </c>
      <c r="J564" s="43">
        <v>0.3</v>
      </c>
      <c r="K564" s="2"/>
      <c r="L564" s="3">
        <f>J564-I564</f>
        <v>5.0925925925926485E-4</v>
      </c>
      <c r="M564" s="4">
        <f>F564/I564</f>
        <v>0.12370536404390169</v>
      </c>
      <c r="N564" s="4">
        <f>I564/J564</f>
        <v>0.99830246913580245</v>
      </c>
    </row>
    <row r="565" spans="1:14" x14ac:dyDescent="0.3">
      <c r="A565" s="29">
        <v>46049</v>
      </c>
      <c r="B565" s="8">
        <f>YEAR(A565)</f>
        <v>2026</v>
      </c>
      <c r="C565" s="27" t="str">
        <f>TEXT(A565,"MMMM")</f>
        <v>janeiro</v>
      </c>
      <c r="D565" s="30" t="s">
        <v>25</v>
      </c>
      <c r="E565" s="30" t="s">
        <v>21</v>
      </c>
      <c r="F565" s="31">
        <v>5.4085648148148147E-2</v>
      </c>
      <c r="G565" s="31">
        <v>0.33344907407407409</v>
      </c>
      <c r="H565" s="31">
        <v>0.63365740740740739</v>
      </c>
      <c r="I565" s="43">
        <f>H565-G565</f>
        <v>0.3002083333333333</v>
      </c>
      <c r="J565" s="43">
        <v>0.3</v>
      </c>
      <c r="K565" s="2">
        <f>I565-J565</f>
        <v>2.0833333333331039E-4</v>
      </c>
      <c r="L565" s="3"/>
      <c r="M565" s="4">
        <f>F565/I565</f>
        <v>0.18016038245045879</v>
      </c>
      <c r="N565" s="4">
        <f>I565/J565</f>
        <v>1.0006944444444443</v>
      </c>
    </row>
    <row r="566" spans="1:14" x14ac:dyDescent="0.3">
      <c r="A566" s="29">
        <v>46049</v>
      </c>
      <c r="B566" s="8">
        <f>YEAR(A566)</f>
        <v>2026</v>
      </c>
      <c r="C566" s="27" t="str">
        <f>TEXT(A566,"MMMM")</f>
        <v>janeiro</v>
      </c>
      <c r="D566" s="30" t="s">
        <v>26</v>
      </c>
      <c r="E566" s="30" t="s">
        <v>15</v>
      </c>
      <c r="F566" s="31">
        <v>3.3136574074074075E-2</v>
      </c>
      <c r="G566" s="31">
        <v>0.3334375</v>
      </c>
      <c r="H566" s="31">
        <v>0.63487268518518514</v>
      </c>
      <c r="I566" s="43">
        <f>H566-G566</f>
        <v>0.30143518518518514</v>
      </c>
      <c r="J566" s="43">
        <v>0.3</v>
      </c>
      <c r="K566" s="2">
        <f>I566-J566</f>
        <v>1.4351851851851505E-3</v>
      </c>
      <c r="L566" s="3"/>
      <c r="M566" s="4">
        <f>F566/I566</f>
        <v>0.10992935033021044</v>
      </c>
      <c r="N566" s="4">
        <f>I566/J566</f>
        <v>1.0047839506172838</v>
      </c>
    </row>
    <row r="567" spans="1:14" x14ac:dyDescent="0.3">
      <c r="A567" s="29">
        <v>46049</v>
      </c>
      <c r="B567" s="8">
        <f>YEAR(A567)</f>
        <v>2026</v>
      </c>
      <c r="C567" s="27" t="str">
        <f>TEXT(A567,"MMMM")</f>
        <v>janeiro</v>
      </c>
      <c r="D567" s="30" t="s">
        <v>27</v>
      </c>
      <c r="E567" s="30" t="s">
        <v>34</v>
      </c>
      <c r="F567" s="31">
        <v>3.2048611111111111E-2</v>
      </c>
      <c r="G567" s="31">
        <v>0.33535879629629628</v>
      </c>
      <c r="H567" s="31">
        <v>0.63556712962962958</v>
      </c>
      <c r="I567" s="43">
        <f>H567-G567</f>
        <v>0.3002083333333333</v>
      </c>
      <c r="J567" s="43">
        <v>0.3</v>
      </c>
      <c r="K567" s="2">
        <f>I567-J567</f>
        <v>2.0833333333331039E-4</v>
      </c>
      <c r="L567" s="3"/>
      <c r="M567" s="4">
        <f>F567/I567</f>
        <v>0.10675456858662967</v>
      </c>
      <c r="N567" s="4">
        <f>I567/J567</f>
        <v>1.0006944444444443</v>
      </c>
    </row>
    <row r="568" spans="1:14" x14ac:dyDescent="0.3">
      <c r="A568" s="29">
        <v>46049</v>
      </c>
      <c r="B568" s="8">
        <f>YEAR(A568)</f>
        <v>2026</v>
      </c>
      <c r="C568" s="27" t="str">
        <f>TEXT(A568,"MMMM")</f>
        <v>janeiro</v>
      </c>
      <c r="D568" s="30" t="s">
        <v>68</v>
      </c>
      <c r="E568" s="30" t="s">
        <v>34</v>
      </c>
      <c r="F568" s="31">
        <v>4.9664351851851848E-2</v>
      </c>
      <c r="G568" s="31">
        <v>0.46173611111111112</v>
      </c>
      <c r="H568" s="31">
        <v>0.75026620370370367</v>
      </c>
      <c r="I568" s="43">
        <f>H568-G568</f>
        <v>0.28853009259259255</v>
      </c>
      <c r="J568" s="43">
        <v>0.3</v>
      </c>
      <c r="K568" s="2"/>
      <c r="L568" s="3">
        <f>J568-I568</f>
        <v>1.1469907407407443E-2</v>
      </c>
      <c r="M568" s="4">
        <f>F568/I568</f>
        <v>0.1721288459224197</v>
      </c>
      <c r="N568" s="4">
        <f>I568/J568</f>
        <v>0.96176697530864186</v>
      </c>
    </row>
    <row r="569" spans="1:14" x14ac:dyDescent="0.3">
      <c r="A569" s="29">
        <v>46049</v>
      </c>
      <c r="B569" s="8">
        <f>YEAR(A569)</f>
        <v>2026</v>
      </c>
      <c r="C569" s="27" t="str">
        <f>TEXT(A569,"MMMM")</f>
        <v>janeiro</v>
      </c>
      <c r="D569" s="30" t="s">
        <v>32</v>
      </c>
      <c r="E569" s="30" t="s">
        <v>34</v>
      </c>
      <c r="F569" s="31">
        <v>4.4525462962962961E-2</v>
      </c>
      <c r="G569" s="31">
        <v>0.45571759259259259</v>
      </c>
      <c r="H569" s="31">
        <v>0.75025462962962963</v>
      </c>
      <c r="I569" s="43">
        <f>H569-G569</f>
        <v>0.29453703703703704</v>
      </c>
      <c r="J569" s="43">
        <v>0.3</v>
      </c>
      <c r="K569" s="2"/>
      <c r="L569" s="3">
        <f>J569-I569</f>
        <v>5.4629629629629473E-3</v>
      </c>
      <c r="M569" s="4">
        <f>F569/I569</f>
        <v>0.15117101540396102</v>
      </c>
      <c r="N569" s="4">
        <f>I569/J569</f>
        <v>0.98179012345679018</v>
      </c>
    </row>
    <row r="570" spans="1:14" x14ac:dyDescent="0.3">
      <c r="A570" s="29">
        <v>46050</v>
      </c>
      <c r="B570" s="8">
        <f>YEAR(A570)</f>
        <v>2026</v>
      </c>
      <c r="C570" s="27" t="str">
        <f>TEXT(A570,"MMMM")</f>
        <v>janeiro</v>
      </c>
      <c r="D570" s="30" t="s">
        <v>47</v>
      </c>
      <c r="E570" s="30" t="s">
        <v>21</v>
      </c>
      <c r="F570" s="31">
        <v>4.6203703703703705E-2</v>
      </c>
      <c r="G570" s="31">
        <v>0.5064467592592593</v>
      </c>
      <c r="H570" s="31">
        <v>0.75034722222222228</v>
      </c>
      <c r="I570" s="43">
        <f>H570-G570</f>
        <v>0.24390046296296297</v>
      </c>
      <c r="J570" s="43">
        <v>0.25</v>
      </c>
      <c r="K570" s="2"/>
      <c r="L570" s="3">
        <f>J570-I570</f>
        <v>6.0995370370370283E-3</v>
      </c>
      <c r="M570" s="4">
        <f>F570/I570</f>
        <v>0.1894367199734257</v>
      </c>
      <c r="N570" s="4">
        <f>I570/J570</f>
        <v>0.97560185185185189</v>
      </c>
    </row>
    <row r="571" spans="1:14" x14ac:dyDescent="0.3">
      <c r="A571" s="29">
        <v>46050</v>
      </c>
      <c r="B571" s="8">
        <f>YEAR(A571)</f>
        <v>2026</v>
      </c>
      <c r="C571" s="27" t="str">
        <f>TEXT(A571,"MMMM")</f>
        <v>janeiro</v>
      </c>
      <c r="D571" s="30" t="s">
        <v>19</v>
      </c>
      <c r="E571" s="30" t="s">
        <v>34</v>
      </c>
      <c r="F571" s="31">
        <v>5.1469907407407409E-2</v>
      </c>
      <c r="G571" s="31">
        <v>0.33578703703703705</v>
      </c>
      <c r="H571" s="31">
        <v>0.6338773148148148</v>
      </c>
      <c r="I571" s="43">
        <f>H571-G571</f>
        <v>0.29809027777777775</v>
      </c>
      <c r="J571" s="43">
        <v>0.3</v>
      </c>
      <c r="K571" s="2"/>
      <c r="L571" s="3">
        <f>J571-I571</f>
        <v>1.9097222222222432E-3</v>
      </c>
      <c r="M571" s="4">
        <f>F571/I571</f>
        <v>0.1726655018443021</v>
      </c>
      <c r="N571" s="4">
        <f>I571/J571</f>
        <v>0.99363425925925919</v>
      </c>
    </row>
    <row r="572" spans="1:14" x14ac:dyDescent="0.3">
      <c r="A572" s="29">
        <v>46050</v>
      </c>
      <c r="B572" s="8">
        <f>YEAR(A572)</f>
        <v>2026</v>
      </c>
      <c r="C572" s="27" t="str">
        <f>TEXT(A572,"MMMM")</f>
        <v>janeiro</v>
      </c>
      <c r="D572" s="30" t="s">
        <v>69</v>
      </c>
      <c r="E572" s="30" t="s">
        <v>34</v>
      </c>
      <c r="F572" s="31">
        <v>4.5763888888888889E-2</v>
      </c>
      <c r="G572" s="31">
        <v>0.34789351851851852</v>
      </c>
      <c r="H572" s="31">
        <v>0.63432870370370376</v>
      </c>
      <c r="I572" s="43">
        <f>H572-G572</f>
        <v>0.28643518518518524</v>
      </c>
      <c r="J572" s="43">
        <v>0.3</v>
      </c>
      <c r="K572" s="2"/>
      <c r="L572" s="3">
        <f>J572-I572</f>
        <v>1.3564814814814752E-2</v>
      </c>
      <c r="M572" s="4">
        <f>F572/I572</f>
        <v>0.15977048650395989</v>
      </c>
      <c r="N572" s="4">
        <f>I572/J572</f>
        <v>0.95478395061728416</v>
      </c>
    </row>
    <row r="573" spans="1:14" x14ac:dyDescent="0.3">
      <c r="A573" s="29">
        <v>46050</v>
      </c>
      <c r="B573" s="8">
        <f>YEAR(A573)</f>
        <v>2026</v>
      </c>
      <c r="C573" s="27" t="str">
        <f>TEXT(A573,"MMMM")</f>
        <v>janeiro</v>
      </c>
      <c r="D573" s="30" t="s">
        <v>33</v>
      </c>
      <c r="E573" s="30" t="s">
        <v>34</v>
      </c>
      <c r="F573" s="31">
        <v>3.7685185185185183E-2</v>
      </c>
      <c r="G573" s="31">
        <v>0.33336805555555554</v>
      </c>
      <c r="H573" s="31">
        <v>0.63408564814814816</v>
      </c>
      <c r="I573" s="43">
        <f>H573-G573</f>
        <v>0.30071759259259262</v>
      </c>
      <c r="J573" s="43">
        <v>0.3</v>
      </c>
      <c r="K573" s="2">
        <f>I573-J573</f>
        <v>7.1759259259263075E-4</v>
      </c>
      <c r="L573" s="3"/>
      <c r="M573" s="4">
        <f>F573/I573</f>
        <v>0.12531752751905162</v>
      </c>
      <c r="N573" s="4">
        <f>I573/J573</f>
        <v>1.0023919753086421</v>
      </c>
    </row>
    <row r="574" spans="1:14" x14ac:dyDescent="0.3">
      <c r="A574" s="29">
        <v>46050</v>
      </c>
      <c r="B574" s="8">
        <f>YEAR(A574)</f>
        <v>2026</v>
      </c>
      <c r="C574" s="27" t="str">
        <f>TEXT(A574,"MMMM")</f>
        <v>janeiro</v>
      </c>
      <c r="D574" s="30" t="s">
        <v>25</v>
      </c>
      <c r="E574" s="30" t="s">
        <v>21</v>
      </c>
      <c r="F574" s="31">
        <v>4.5509259259259256E-2</v>
      </c>
      <c r="G574" s="31">
        <v>0.33344907407407409</v>
      </c>
      <c r="H574" s="31">
        <v>0.63365740740740739</v>
      </c>
      <c r="I574" s="43">
        <f>H574-G574</f>
        <v>0.3002083333333333</v>
      </c>
      <c r="J574" s="43">
        <v>0.3</v>
      </c>
      <c r="K574" s="2">
        <f>I574-J574</f>
        <v>2.0833333333331039E-4</v>
      </c>
      <c r="L574" s="3"/>
      <c r="M574" s="4">
        <f>F574/I574</f>
        <v>0.15159225846248747</v>
      </c>
      <c r="N574" s="4">
        <f>I574/J574</f>
        <v>1.0006944444444443</v>
      </c>
    </row>
    <row r="575" spans="1:14" x14ac:dyDescent="0.3">
      <c r="A575" s="29">
        <v>46050</v>
      </c>
      <c r="B575" s="8">
        <f>YEAR(A575)</f>
        <v>2026</v>
      </c>
      <c r="C575" s="27" t="str">
        <f>TEXT(A575,"MMMM")</f>
        <v>janeiro</v>
      </c>
      <c r="D575" s="30" t="s">
        <v>26</v>
      </c>
      <c r="E575" s="30" t="s">
        <v>15</v>
      </c>
      <c r="F575" s="31">
        <v>5.0243055555555555E-2</v>
      </c>
      <c r="G575" s="31">
        <v>0.33341435185185186</v>
      </c>
      <c r="H575" s="31">
        <v>0.63548611111111108</v>
      </c>
      <c r="I575" s="43">
        <f>H575-G575</f>
        <v>0.30207175925925922</v>
      </c>
      <c r="J575" s="43">
        <v>0.3</v>
      </c>
      <c r="K575" s="2">
        <f>I575-J575</f>
        <v>2.0717592592592315E-3</v>
      </c>
      <c r="L575" s="3"/>
      <c r="M575" s="4">
        <f>F575/I575</f>
        <v>0.16632821180888158</v>
      </c>
      <c r="N575" s="4">
        <f>I575/J575</f>
        <v>1.0069058641975308</v>
      </c>
    </row>
    <row r="576" spans="1:14" x14ac:dyDescent="0.3">
      <c r="A576" s="29">
        <v>46050</v>
      </c>
      <c r="B576" s="8">
        <f>YEAR(A576)</f>
        <v>2026</v>
      </c>
      <c r="C576" s="27" t="str">
        <f>TEXT(A576,"MMMM")</f>
        <v>janeiro</v>
      </c>
      <c r="D576" s="30" t="s">
        <v>27</v>
      </c>
      <c r="E576" s="30" t="s">
        <v>34</v>
      </c>
      <c r="F576" s="31">
        <v>3.3715277777777775E-2</v>
      </c>
      <c r="G576" s="31">
        <v>0.3336574074074074</v>
      </c>
      <c r="H576" s="31">
        <v>0.63506944444444446</v>
      </c>
      <c r="I576" s="43">
        <f>H576-G576</f>
        <v>0.30141203703703706</v>
      </c>
      <c r="J576" s="43">
        <v>0.3</v>
      </c>
      <c r="K576" s="2">
        <f>I576-J576</f>
        <v>1.4120370370370727E-3</v>
      </c>
      <c r="L576" s="3"/>
      <c r="M576" s="4">
        <f>F576/I576</f>
        <v>0.11185776822056676</v>
      </c>
      <c r="N576" s="4">
        <f>I576/J576</f>
        <v>1.004706790123457</v>
      </c>
    </row>
    <row r="577" spans="1:14" x14ac:dyDescent="0.3">
      <c r="A577" s="29">
        <v>46050</v>
      </c>
      <c r="B577" s="8">
        <f>YEAR(A577)</f>
        <v>2026</v>
      </c>
      <c r="C577" s="27" t="str">
        <f>TEXT(A577,"MMMM")</f>
        <v>janeiro</v>
      </c>
      <c r="D577" s="30" t="s">
        <v>68</v>
      </c>
      <c r="E577" s="30" t="s">
        <v>34</v>
      </c>
      <c r="F577" s="31">
        <v>5.2025462962962961E-2</v>
      </c>
      <c r="G577" s="31">
        <v>0.45239583333333333</v>
      </c>
      <c r="H577" s="31">
        <v>0.75055555555555553</v>
      </c>
      <c r="I577" s="43">
        <f>H577-G577</f>
        <v>0.2981597222222222</v>
      </c>
      <c r="J577" s="43">
        <v>0.3</v>
      </c>
      <c r="K577" s="2"/>
      <c r="L577" s="3">
        <f>J577-I577</f>
        <v>1.8402777777777879E-3</v>
      </c>
      <c r="M577" s="4">
        <f>F577/I577</f>
        <v>0.17448856799037304</v>
      </c>
      <c r="N577" s="4">
        <f>I577/J577</f>
        <v>0.99386574074074074</v>
      </c>
    </row>
    <row r="578" spans="1:14" x14ac:dyDescent="0.3">
      <c r="A578" s="29">
        <v>46050</v>
      </c>
      <c r="B578" s="8">
        <f>YEAR(A578)</f>
        <v>2026</v>
      </c>
      <c r="C578" s="27" t="str">
        <f>TEXT(A578,"MMMM")</f>
        <v>janeiro</v>
      </c>
      <c r="D578" s="30" t="s">
        <v>32</v>
      </c>
      <c r="E578" s="30" t="s">
        <v>34</v>
      </c>
      <c r="F578" s="31">
        <v>4.715277777777778E-2</v>
      </c>
      <c r="G578" s="31">
        <v>0.4820949074074074</v>
      </c>
      <c r="H578" s="31">
        <v>0.75038194444444439</v>
      </c>
      <c r="I578" s="43">
        <f>H578-G578</f>
        <v>0.26828703703703699</v>
      </c>
      <c r="J578" s="43">
        <v>0.3</v>
      </c>
      <c r="K578" s="2"/>
      <c r="L578" s="3">
        <f>J578-I578</f>
        <v>3.1712962962962998E-2</v>
      </c>
      <c r="M578" s="4">
        <f>F578/I578</f>
        <v>0.1757549611734254</v>
      </c>
      <c r="N578" s="4">
        <f>I578/J578</f>
        <v>0.89429012345679004</v>
      </c>
    </row>
    <row r="579" spans="1:14" x14ac:dyDescent="0.3">
      <c r="A579" s="29">
        <v>46050</v>
      </c>
      <c r="B579" s="8">
        <f>YEAR(A579)</f>
        <v>2026</v>
      </c>
      <c r="C579" s="27" t="str">
        <f>TEXT(A579,"MMMM")</f>
        <v>janeiro</v>
      </c>
      <c r="D579" s="30" t="s">
        <v>30</v>
      </c>
      <c r="E579" s="30" t="s">
        <v>34</v>
      </c>
      <c r="F579" s="31">
        <v>5.6909722222222223E-2</v>
      </c>
      <c r="G579" s="31">
        <v>0.33386574074074077</v>
      </c>
      <c r="H579" s="31">
        <v>0.6335763888888889</v>
      </c>
      <c r="I579" s="43">
        <f>H579-G579</f>
        <v>0.29971064814814813</v>
      </c>
      <c r="J579" s="43">
        <v>0.3</v>
      </c>
      <c r="K579" s="2"/>
      <c r="L579" s="3">
        <f>J579-I579</f>
        <v>2.8935185185186008E-4</v>
      </c>
      <c r="M579" s="4">
        <f>F579/I579</f>
        <v>0.18988221664413982</v>
      </c>
      <c r="N579" s="4">
        <f>I579/J579</f>
        <v>0.9990354938271605</v>
      </c>
    </row>
    <row r="580" spans="1:14" x14ac:dyDescent="0.3">
      <c r="A580" s="29">
        <v>46050</v>
      </c>
      <c r="B580" s="8">
        <f>YEAR(A580)</f>
        <v>2026</v>
      </c>
      <c r="C580" s="27" t="str">
        <f>TEXT(A580,"MMMM")</f>
        <v>janeiro</v>
      </c>
      <c r="D580" s="30" t="s">
        <v>28</v>
      </c>
      <c r="E580" s="30" t="s">
        <v>14</v>
      </c>
      <c r="F580" s="31">
        <v>4.1562500000000002E-2</v>
      </c>
      <c r="G580" s="31">
        <v>0.42421296296296296</v>
      </c>
      <c r="H580" s="31">
        <v>0.72562499999999996</v>
      </c>
      <c r="I580" s="43">
        <f>H580-G580</f>
        <v>0.30141203703703701</v>
      </c>
      <c r="J580" s="43">
        <v>0.3</v>
      </c>
      <c r="K580" s="2">
        <f>I580-J580</f>
        <v>1.4120370370370172E-3</v>
      </c>
      <c r="L580" s="3"/>
      <c r="M580" s="4">
        <f>F580/I580</f>
        <v>0.13789263497427234</v>
      </c>
      <c r="N580" s="4">
        <f>I580/J580</f>
        <v>1.0047067901234568</v>
      </c>
    </row>
    <row r="581" spans="1:14" x14ac:dyDescent="0.3">
      <c r="A581" s="29">
        <v>46051</v>
      </c>
      <c r="B581" s="8">
        <f>YEAR(A581)</f>
        <v>2026</v>
      </c>
      <c r="C581" s="27" t="str">
        <f>TEXT(A581,"MMMM")</f>
        <v>janeiro</v>
      </c>
      <c r="D581" s="30" t="s">
        <v>47</v>
      </c>
      <c r="E581" s="30" t="s">
        <v>21</v>
      </c>
      <c r="F581" s="31">
        <v>4.3379629629629629E-2</v>
      </c>
      <c r="G581" s="31">
        <v>0.50598379629629631</v>
      </c>
      <c r="H581" s="31">
        <v>0.7503009259259259</v>
      </c>
      <c r="I581" s="43">
        <f>H581-G581</f>
        <v>0.24431712962962959</v>
      </c>
      <c r="J581" s="43">
        <v>0.25</v>
      </c>
      <c r="K581" s="2"/>
      <c r="L581" s="3">
        <f>J581-I581</f>
        <v>5.6828703703704075E-3</v>
      </c>
      <c r="M581" s="4">
        <f>F581/I581</f>
        <v>0.17755459756501968</v>
      </c>
      <c r="N581" s="4">
        <f>I581/J581</f>
        <v>0.97726851851851837</v>
      </c>
    </row>
    <row r="582" spans="1:14" x14ac:dyDescent="0.3">
      <c r="A582" s="29">
        <v>46051</v>
      </c>
      <c r="B582" s="8">
        <f>YEAR(A582)</f>
        <v>2026</v>
      </c>
      <c r="C582" s="27" t="str">
        <f>TEXT(A582,"MMMM")</f>
        <v>janeiro</v>
      </c>
      <c r="D582" s="30" t="s">
        <v>18</v>
      </c>
      <c r="E582" s="30" t="s">
        <v>14</v>
      </c>
      <c r="F582" s="31">
        <v>3.457175925925926E-2</v>
      </c>
      <c r="G582" s="31">
        <v>0.34099537037037037</v>
      </c>
      <c r="H582" s="31">
        <v>0.63509259259259254</v>
      </c>
      <c r="I582" s="43">
        <f>H582-G582</f>
        <v>0.29409722222222218</v>
      </c>
      <c r="J582" s="43">
        <v>0.3</v>
      </c>
      <c r="K582" s="2"/>
      <c r="L582" s="3">
        <f>J582-I582</f>
        <v>5.9027777777778123E-3</v>
      </c>
      <c r="M582" s="4">
        <f>F582/I582</f>
        <v>0.11755214482487213</v>
      </c>
      <c r="N582" s="4">
        <f>I582/J582</f>
        <v>0.98032407407407396</v>
      </c>
    </row>
    <row r="583" spans="1:14" x14ac:dyDescent="0.3">
      <c r="A583" s="29">
        <v>46051</v>
      </c>
      <c r="B583" s="8">
        <f>YEAR(A583)</f>
        <v>2026</v>
      </c>
      <c r="C583" s="27" t="str">
        <f>TEXT(A583,"MMMM")</f>
        <v>janeiro</v>
      </c>
      <c r="D583" s="30" t="s">
        <v>19</v>
      </c>
      <c r="E583" s="30" t="s">
        <v>34</v>
      </c>
      <c r="F583" s="31">
        <v>6.2581018518518522E-2</v>
      </c>
      <c r="G583" s="31">
        <v>0.33458333333333334</v>
      </c>
      <c r="H583" s="31">
        <v>0.63517361111111115</v>
      </c>
      <c r="I583" s="43">
        <f>H583-G583</f>
        <v>0.3005902777777778</v>
      </c>
      <c r="J583" s="43">
        <v>0.3</v>
      </c>
      <c r="K583" s="2">
        <f>I583-J583</f>
        <v>5.9027777777781454E-4</v>
      </c>
      <c r="L583" s="3"/>
      <c r="M583" s="4">
        <f>F583/I583</f>
        <v>0.20819375457240769</v>
      </c>
      <c r="N583" s="4">
        <f>I583/J583</f>
        <v>1.0019675925925928</v>
      </c>
    </row>
    <row r="584" spans="1:14" x14ac:dyDescent="0.3">
      <c r="A584" s="29">
        <v>46051</v>
      </c>
      <c r="B584" s="8">
        <f>YEAR(A584)</f>
        <v>2026</v>
      </c>
      <c r="C584" s="27" t="str">
        <f>TEXT(A584,"MMMM")</f>
        <v>janeiro</v>
      </c>
      <c r="D584" s="30" t="s">
        <v>69</v>
      </c>
      <c r="E584" s="30" t="s">
        <v>34</v>
      </c>
      <c r="F584" s="31">
        <v>4.6516203703703705E-2</v>
      </c>
      <c r="G584" s="31">
        <v>0.33473379629629629</v>
      </c>
      <c r="H584" s="31">
        <v>0.63392361111111106</v>
      </c>
      <c r="I584" s="43">
        <f>H584-G584</f>
        <v>0.29918981481481477</v>
      </c>
      <c r="J584" s="43">
        <v>0.3</v>
      </c>
      <c r="K584" s="2"/>
      <c r="L584" s="3">
        <f>J584-I584</f>
        <v>8.1018518518521931E-4</v>
      </c>
      <c r="M584" s="4">
        <f>F584/I584</f>
        <v>0.15547388781431337</v>
      </c>
      <c r="N584" s="4">
        <f>I584/J584</f>
        <v>0.99729938271604923</v>
      </c>
    </row>
    <row r="585" spans="1:14" x14ac:dyDescent="0.3">
      <c r="A585" s="29">
        <v>46051</v>
      </c>
      <c r="B585" s="8">
        <f>YEAR(A585)</f>
        <v>2026</v>
      </c>
      <c r="C585" s="27" t="str">
        <f>TEXT(A585,"MMMM")</f>
        <v>janeiro</v>
      </c>
      <c r="D585" s="30" t="s">
        <v>33</v>
      </c>
      <c r="E585" s="30" t="s">
        <v>34</v>
      </c>
      <c r="F585" s="31">
        <v>3.6249999999999998E-2</v>
      </c>
      <c r="G585" s="31">
        <v>0.33336805555555554</v>
      </c>
      <c r="H585" s="31">
        <v>0.63371527777777781</v>
      </c>
      <c r="I585" s="43">
        <f>H585-G585</f>
        <v>0.30034722222222227</v>
      </c>
      <c r="J585" s="43">
        <v>0.3</v>
      </c>
      <c r="K585" s="2">
        <f>I585-J585</f>
        <v>3.472222222222765E-4</v>
      </c>
      <c r="L585" s="3"/>
      <c r="M585" s="4">
        <f>F585/I585</f>
        <v>0.12069364161849708</v>
      </c>
      <c r="N585" s="4">
        <f>I585/J585</f>
        <v>1.0011574074074077</v>
      </c>
    </row>
    <row r="586" spans="1:14" x14ac:dyDescent="0.3">
      <c r="A586" s="29">
        <v>46051</v>
      </c>
      <c r="B586" s="8">
        <f>YEAR(A586)</f>
        <v>2026</v>
      </c>
      <c r="C586" s="27" t="str">
        <f>TEXT(A586,"MMMM")</f>
        <v>janeiro</v>
      </c>
      <c r="D586" s="30" t="s">
        <v>24</v>
      </c>
      <c r="E586" s="30" t="s">
        <v>14</v>
      </c>
      <c r="F586" s="31">
        <v>3.0844907407407408E-2</v>
      </c>
      <c r="G586" s="31">
        <v>0.43655092592592593</v>
      </c>
      <c r="H586" s="31">
        <v>0.75155092592592587</v>
      </c>
      <c r="I586" s="43">
        <f>H586-G586</f>
        <v>0.31499999999999995</v>
      </c>
      <c r="J586" s="43">
        <v>0.3</v>
      </c>
      <c r="K586" s="2">
        <f>I586-J586</f>
        <v>1.4999999999999958E-2</v>
      </c>
      <c r="L586" s="3"/>
      <c r="M586" s="4">
        <f>F586/I586</f>
        <v>9.7920340975896553E-2</v>
      </c>
      <c r="N586" s="4">
        <f>I586/J586</f>
        <v>1.0499999999999998</v>
      </c>
    </row>
    <row r="587" spans="1:14" x14ac:dyDescent="0.3">
      <c r="A587" s="29">
        <v>46051</v>
      </c>
      <c r="B587" s="8">
        <f>YEAR(A587)</f>
        <v>2026</v>
      </c>
      <c r="C587" s="27" t="str">
        <f>TEXT(A587,"MMMM")</f>
        <v>janeiro</v>
      </c>
      <c r="D587" s="30" t="s">
        <v>25</v>
      </c>
      <c r="E587" s="30" t="s">
        <v>21</v>
      </c>
      <c r="F587" s="31">
        <v>5.1261574074074077E-2</v>
      </c>
      <c r="G587" s="31">
        <v>0.33344907407407409</v>
      </c>
      <c r="H587" s="31">
        <v>0.63447916666666671</v>
      </c>
      <c r="I587" s="43">
        <f>H587-G587</f>
        <v>0.30103009259259261</v>
      </c>
      <c r="J587" s="43">
        <v>0.3</v>
      </c>
      <c r="K587" s="2">
        <f>I587-J587</f>
        <v>1.0300925925926241E-3</v>
      </c>
      <c r="L587" s="3"/>
      <c r="M587" s="4">
        <f>F587/I587</f>
        <v>0.17028720827405897</v>
      </c>
      <c r="N587" s="4">
        <f>I587/J587</f>
        <v>1.0034336419753087</v>
      </c>
    </row>
    <row r="588" spans="1:14" x14ac:dyDescent="0.3">
      <c r="A588" s="29">
        <v>46051</v>
      </c>
      <c r="B588" s="8">
        <f>YEAR(A588)</f>
        <v>2026</v>
      </c>
      <c r="C588" s="27" t="str">
        <f>TEXT(A588,"MMMM")</f>
        <v>janeiro</v>
      </c>
      <c r="D588" s="30" t="s">
        <v>26</v>
      </c>
      <c r="E588" s="30" t="s">
        <v>15</v>
      </c>
      <c r="F588" s="31">
        <v>4.6365740740740742E-2</v>
      </c>
      <c r="G588" s="31">
        <v>0.33429398148148148</v>
      </c>
      <c r="H588" s="31">
        <v>0.63490740740740736</v>
      </c>
      <c r="I588" s="43">
        <f>H588-G588</f>
        <v>0.30061342592592588</v>
      </c>
      <c r="J588" s="43">
        <v>0.3</v>
      </c>
      <c r="K588" s="2">
        <f>I588-J588</f>
        <v>6.1342592592589229E-4</v>
      </c>
      <c r="L588" s="3"/>
      <c r="M588" s="4">
        <f>F588/I588</f>
        <v>0.15423709236514846</v>
      </c>
      <c r="N588" s="4">
        <f>I588/J588</f>
        <v>1.0020447530864196</v>
      </c>
    </row>
    <row r="589" spans="1:14" x14ac:dyDescent="0.3">
      <c r="A589" s="29">
        <v>46051</v>
      </c>
      <c r="B589" s="8">
        <f>YEAR(A589)</f>
        <v>2026</v>
      </c>
      <c r="C589" s="27" t="str">
        <f>TEXT(A589,"MMMM")</f>
        <v>janeiro</v>
      </c>
      <c r="D589" s="30" t="s">
        <v>27</v>
      </c>
      <c r="E589" s="30" t="s">
        <v>34</v>
      </c>
      <c r="F589" s="31">
        <v>3.4502314814814812E-2</v>
      </c>
      <c r="G589" s="31">
        <v>0.33339120370370373</v>
      </c>
      <c r="H589" s="31">
        <v>0.63547453703703705</v>
      </c>
      <c r="I589" s="43">
        <f>H589-G589</f>
        <v>0.30208333333333331</v>
      </c>
      <c r="J589" s="43">
        <v>0.3</v>
      </c>
      <c r="K589" s="2">
        <f>I589-J589</f>
        <v>2.0833333333333259E-3</v>
      </c>
      <c r="L589" s="3"/>
      <c r="M589" s="4">
        <f>F589/I589</f>
        <v>0.11421455938697318</v>
      </c>
      <c r="N589" s="4">
        <f>I589/J589</f>
        <v>1.0069444444444444</v>
      </c>
    </row>
    <row r="590" spans="1:14" x14ac:dyDescent="0.3">
      <c r="A590" s="29">
        <v>46051</v>
      </c>
      <c r="B590" s="8">
        <f>YEAR(A590)</f>
        <v>2026</v>
      </c>
      <c r="C590" s="27" t="str">
        <f>TEXT(A590,"MMMM")</f>
        <v>janeiro</v>
      </c>
      <c r="D590" s="30" t="s">
        <v>68</v>
      </c>
      <c r="E590" s="30" t="s">
        <v>34</v>
      </c>
      <c r="F590" s="31">
        <v>4.5324074074074072E-2</v>
      </c>
      <c r="G590" s="31">
        <v>0.44593749999999999</v>
      </c>
      <c r="H590" s="31">
        <v>0.75032407407407409</v>
      </c>
      <c r="I590" s="43">
        <f>H590-G590</f>
        <v>0.3043865740740741</v>
      </c>
      <c r="J590" s="43">
        <v>0.3</v>
      </c>
      <c r="K590" s="2">
        <f>I590-J590</f>
        <v>4.3865740740741122E-3</v>
      </c>
      <c r="L590" s="3"/>
      <c r="M590" s="4">
        <f>F590/I590</f>
        <v>0.14890300011407276</v>
      </c>
      <c r="N590" s="4">
        <f>I590/J590</f>
        <v>1.014621913580247</v>
      </c>
    </row>
    <row r="591" spans="1:14" x14ac:dyDescent="0.3">
      <c r="A591" s="29">
        <v>46051</v>
      </c>
      <c r="B591" s="8">
        <f>YEAR(A591)</f>
        <v>2026</v>
      </c>
      <c r="C591" s="27" t="str">
        <f>TEXT(A591,"MMMM")</f>
        <v>janeiro</v>
      </c>
      <c r="D591" s="30" t="s">
        <v>32</v>
      </c>
      <c r="E591" s="30" t="s">
        <v>34</v>
      </c>
      <c r="F591" s="31">
        <v>4.310185185185185E-2</v>
      </c>
      <c r="G591" s="31">
        <v>0.45800925925925928</v>
      </c>
      <c r="H591" s="31">
        <v>0.75034722222222228</v>
      </c>
      <c r="I591" s="43">
        <f>H591-G591</f>
        <v>0.29233796296296299</v>
      </c>
      <c r="J591" s="43">
        <v>0.3</v>
      </c>
      <c r="K591" s="2"/>
      <c r="L591" s="3">
        <f>J591-I591</f>
        <v>7.662037037036995E-3</v>
      </c>
      <c r="M591" s="4">
        <f>F591/I591</f>
        <v>0.14743843534721671</v>
      </c>
      <c r="N591" s="4">
        <f>I591/J591</f>
        <v>0.97445987654320998</v>
      </c>
    </row>
    <row r="592" spans="1:14" x14ac:dyDescent="0.3">
      <c r="A592" s="29">
        <v>46051</v>
      </c>
      <c r="B592" s="8">
        <f>YEAR(A592)</f>
        <v>2026</v>
      </c>
      <c r="C592" s="27" t="str">
        <f>TEXT(A592,"MMMM")</f>
        <v>janeiro</v>
      </c>
      <c r="D592" s="30" t="s">
        <v>30</v>
      </c>
      <c r="E592" s="30" t="s">
        <v>34</v>
      </c>
      <c r="F592" s="31">
        <v>2.8136574074074074E-2</v>
      </c>
      <c r="G592" s="31">
        <v>0.33425925925925926</v>
      </c>
      <c r="H592" s="31">
        <v>0.5006828703703704</v>
      </c>
      <c r="I592" s="43">
        <f>H592-G592</f>
        <v>0.16642361111111115</v>
      </c>
      <c r="J592" s="43">
        <v>0.3</v>
      </c>
      <c r="K592" s="2"/>
      <c r="L592" s="3">
        <f>J592-I592</f>
        <v>0.13357638888888884</v>
      </c>
      <c r="M592" s="4">
        <f>F592/I592</f>
        <v>0.16906599902635785</v>
      </c>
      <c r="N592" s="4">
        <f>I592/J592</f>
        <v>0.55474537037037053</v>
      </c>
    </row>
    <row r="593" spans="1:14" x14ac:dyDescent="0.3">
      <c r="A593" s="29">
        <v>46051</v>
      </c>
      <c r="B593" s="8">
        <f>YEAR(A593)</f>
        <v>2026</v>
      </c>
      <c r="C593" s="27" t="str">
        <f>TEXT(A593,"MMMM")</f>
        <v>janeiro</v>
      </c>
      <c r="D593" s="30" t="s">
        <v>28</v>
      </c>
      <c r="E593" s="30" t="s">
        <v>14</v>
      </c>
      <c r="F593" s="31">
        <v>3.2071759259259258E-2</v>
      </c>
      <c r="G593" s="31">
        <v>0.4493402777777778</v>
      </c>
      <c r="H593" s="31">
        <v>0.75108796296296299</v>
      </c>
      <c r="I593" s="43">
        <f>H593-G593</f>
        <v>0.30174768518518519</v>
      </c>
      <c r="J593" s="43">
        <v>0.3</v>
      </c>
      <c r="K593" s="2">
        <f>I593-J593</f>
        <v>1.7476851851851993E-3</v>
      </c>
      <c r="L593" s="3"/>
      <c r="M593" s="4">
        <f>F593/I593</f>
        <v>0.10628667868512906</v>
      </c>
      <c r="N593" s="4">
        <f>I593/J593</f>
        <v>1.0058256172839506</v>
      </c>
    </row>
    <row r="594" spans="1:14" x14ac:dyDescent="0.3">
      <c r="A594" s="29">
        <v>46051</v>
      </c>
      <c r="B594" s="8">
        <f>YEAR(A594)</f>
        <v>2026</v>
      </c>
      <c r="C594" s="27" t="str">
        <f>TEXT(A594,"MMMM")</f>
        <v>janeiro</v>
      </c>
      <c r="D594" s="30" t="s">
        <v>29</v>
      </c>
      <c r="E594" s="30" t="s">
        <v>14</v>
      </c>
      <c r="F594" s="31">
        <v>3.4131944444444444E-2</v>
      </c>
      <c r="G594" s="31">
        <v>0.33572916666666669</v>
      </c>
      <c r="H594" s="31">
        <v>0.61209490740740746</v>
      </c>
      <c r="I594" s="43">
        <f>H594-G594</f>
        <v>0.27636574074074077</v>
      </c>
      <c r="J594" s="43">
        <v>0.3</v>
      </c>
      <c r="K594" s="2"/>
      <c r="L594" s="3">
        <f>J594-I594</f>
        <v>2.3634259259259216E-2</v>
      </c>
      <c r="M594" s="4">
        <f>F594/I594</f>
        <v>0.12350280593014488</v>
      </c>
      <c r="N594" s="4">
        <f>I594/J594</f>
        <v>0.92121913580246928</v>
      </c>
    </row>
    <row r="595" spans="1:14" x14ac:dyDescent="0.3">
      <c r="A595" s="29">
        <v>46052</v>
      </c>
      <c r="B595" s="8">
        <f>YEAR(A595)</f>
        <v>2026</v>
      </c>
      <c r="C595" s="27" t="str">
        <f>TEXT(A595,"MMMM")</f>
        <v>janeiro</v>
      </c>
      <c r="D595" s="30" t="s">
        <v>18</v>
      </c>
      <c r="E595" s="30" t="s">
        <v>14</v>
      </c>
      <c r="F595" s="31">
        <v>3.1689814814814816E-2</v>
      </c>
      <c r="G595" s="31">
        <v>0.35855324074074074</v>
      </c>
      <c r="H595" s="31">
        <v>0.64679398148148148</v>
      </c>
      <c r="I595" s="43">
        <f>H595-G595</f>
        <v>0.28824074074074074</v>
      </c>
      <c r="J595" s="43">
        <v>0.3</v>
      </c>
      <c r="K595" s="2"/>
      <c r="L595" s="3">
        <f>J595-I595</f>
        <v>1.1759259259259247E-2</v>
      </c>
      <c r="M595" s="4">
        <f>F595/I595</f>
        <v>0.10994217796337938</v>
      </c>
      <c r="N595" s="4">
        <f>I595/J595</f>
        <v>0.96080246913580247</v>
      </c>
    </row>
    <row r="596" spans="1:14" x14ac:dyDescent="0.3">
      <c r="A596" s="29">
        <v>46052</v>
      </c>
      <c r="B596" s="8">
        <f>YEAR(A596)</f>
        <v>2026</v>
      </c>
      <c r="C596" s="27" t="str">
        <f>TEXT(A596,"MMMM")</f>
        <v>janeiro</v>
      </c>
      <c r="D596" s="30" t="s">
        <v>19</v>
      </c>
      <c r="E596" s="30" t="s">
        <v>34</v>
      </c>
      <c r="F596" s="31">
        <v>4.3171296296296298E-2</v>
      </c>
      <c r="G596" s="31">
        <v>0.33686342592592594</v>
      </c>
      <c r="H596" s="31">
        <v>0.63453703703703701</v>
      </c>
      <c r="I596" s="43">
        <f>H596-G596</f>
        <v>0.29767361111111107</v>
      </c>
      <c r="J596" s="43">
        <v>0.3</v>
      </c>
      <c r="K596" s="2"/>
      <c r="L596" s="3">
        <f>J596-I596</f>
        <v>2.3263888888889195E-3</v>
      </c>
      <c r="M596" s="4">
        <f>F596/I596</f>
        <v>0.14502896691162179</v>
      </c>
      <c r="N596" s="4">
        <f>I596/J596</f>
        <v>0.99224537037037031</v>
      </c>
    </row>
    <row r="597" spans="1:14" x14ac:dyDescent="0.3">
      <c r="A597" s="29">
        <v>46052</v>
      </c>
      <c r="B597" s="8">
        <f>YEAR(A597)</f>
        <v>2026</v>
      </c>
      <c r="C597" s="27" t="str">
        <f>TEXT(A597,"MMMM")</f>
        <v>janeiro</v>
      </c>
      <c r="D597" s="30" t="s">
        <v>69</v>
      </c>
      <c r="E597" s="30" t="s">
        <v>34</v>
      </c>
      <c r="F597" s="31">
        <v>4.4108796296296299E-2</v>
      </c>
      <c r="G597" s="31">
        <v>0.34256944444444443</v>
      </c>
      <c r="H597" s="31">
        <v>0.6343981481481481</v>
      </c>
      <c r="I597" s="43">
        <f>H597-G597</f>
        <v>0.29182870370370367</v>
      </c>
      <c r="J597" s="43">
        <v>0.3</v>
      </c>
      <c r="K597" s="2"/>
      <c r="L597" s="3">
        <f>J597-I597</f>
        <v>8.1712962962963154E-3</v>
      </c>
      <c r="M597" s="4">
        <f>F597/I597</f>
        <v>0.15114618862536688</v>
      </c>
      <c r="N597" s="4">
        <f>I597/J597</f>
        <v>0.97276234567901232</v>
      </c>
    </row>
    <row r="598" spans="1:14" x14ac:dyDescent="0.3">
      <c r="A598" s="29">
        <v>46052</v>
      </c>
      <c r="B598" s="8">
        <f>YEAR(A598)</f>
        <v>2026</v>
      </c>
      <c r="C598" s="27" t="str">
        <f>TEXT(A598,"MMMM")</f>
        <v>janeiro</v>
      </c>
      <c r="D598" s="30" t="s">
        <v>33</v>
      </c>
      <c r="E598" s="30" t="s">
        <v>34</v>
      </c>
      <c r="F598" s="31">
        <v>3.5219907407407408E-2</v>
      </c>
      <c r="G598" s="31">
        <v>0.33333333333333331</v>
      </c>
      <c r="H598" s="31">
        <v>0.63377314814814811</v>
      </c>
      <c r="I598" s="43">
        <f>H598-G598</f>
        <v>0.3004398148148148</v>
      </c>
      <c r="J598" s="43">
        <v>0.3</v>
      </c>
      <c r="K598" s="2">
        <f>I598-J598</f>
        <v>4.3981481481480955E-4</v>
      </c>
      <c r="L598" s="3"/>
      <c r="M598" s="4">
        <f>F598/I598</f>
        <v>0.11722782957084522</v>
      </c>
      <c r="N598" s="4">
        <f>I598/J598</f>
        <v>1.0014660493827161</v>
      </c>
    </row>
    <row r="599" spans="1:14" x14ac:dyDescent="0.3">
      <c r="A599" s="29">
        <v>46052</v>
      </c>
      <c r="B599" s="8">
        <f>YEAR(A599)</f>
        <v>2026</v>
      </c>
      <c r="C599" s="27" t="str">
        <f>TEXT(A599,"MMMM")</f>
        <v>janeiro</v>
      </c>
      <c r="D599" s="30" t="s">
        <v>24</v>
      </c>
      <c r="E599" s="30" t="s">
        <v>14</v>
      </c>
      <c r="F599" s="31">
        <v>3.8182870370370367E-2</v>
      </c>
      <c r="G599" s="31">
        <v>0.41743055555555558</v>
      </c>
      <c r="H599" s="31">
        <v>0.69028935185185181</v>
      </c>
      <c r="I599" s="43">
        <f>H599-G599</f>
        <v>0.27285879629629622</v>
      </c>
      <c r="J599" s="43">
        <v>0.3</v>
      </c>
      <c r="K599" s="2"/>
      <c r="L599" s="3">
        <f>J599-I599</f>
        <v>2.7141203703703765E-2</v>
      </c>
      <c r="M599" s="4">
        <f>F599/I599</f>
        <v>0.13993637327677627</v>
      </c>
      <c r="N599" s="4">
        <f>I599/J599</f>
        <v>0.90952932098765416</v>
      </c>
    </row>
    <row r="600" spans="1:14" x14ac:dyDescent="0.3">
      <c r="A600" s="29">
        <v>46052</v>
      </c>
      <c r="B600" s="8">
        <f>YEAR(A600)</f>
        <v>2026</v>
      </c>
      <c r="C600" s="27" t="str">
        <f>TEXT(A600,"MMMM")</f>
        <v>janeiro</v>
      </c>
      <c r="D600" s="30" t="s">
        <v>25</v>
      </c>
      <c r="E600" s="30" t="s">
        <v>21</v>
      </c>
      <c r="F600" s="31">
        <v>5.5439814814814817E-2</v>
      </c>
      <c r="G600" s="31">
        <v>0.33333333333333331</v>
      </c>
      <c r="H600" s="31">
        <v>0.63372685185185185</v>
      </c>
      <c r="I600" s="43">
        <f>H600-G600</f>
        <v>0.30039351851851853</v>
      </c>
      <c r="J600" s="43">
        <v>0.3</v>
      </c>
      <c r="K600" s="2">
        <f>I600-J600</f>
        <v>3.9351851851854303E-4</v>
      </c>
      <c r="L600" s="3"/>
      <c r="M600" s="4">
        <f>F600/I600</f>
        <v>0.18455729367342222</v>
      </c>
      <c r="N600" s="4">
        <f>I600/J600</f>
        <v>1.0013117283950619</v>
      </c>
    </row>
    <row r="601" spans="1:14" x14ac:dyDescent="0.3">
      <c r="A601" s="29">
        <v>46052</v>
      </c>
      <c r="B601" s="8">
        <f>YEAR(A601)</f>
        <v>2026</v>
      </c>
      <c r="C601" s="27" t="str">
        <f>TEXT(A601,"MMMM")</f>
        <v>janeiro</v>
      </c>
      <c r="D601" s="30" t="s">
        <v>26</v>
      </c>
      <c r="E601" s="30" t="s">
        <v>15</v>
      </c>
      <c r="F601" s="31">
        <v>3.6168981481481483E-2</v>
      </c>
      <c r="G601" s="31">
        <v>0.33458333333333334</v>
      </c>
      <c r="H601" s="31">
        <v>0.63452546296296297</v>
      </c>
      <c r="I601" s="43">
        <f>H601-G601</f>
        <v>0.29994212962962963</v>
      </c>
      <c r="J601" s="43">
        <v>0.3</v>
      </c>
      <c r="K601" s="2"/>
      <c r="L601" s="3">
        <f>J601-I601</f>
        <v>5.7870370370360913E-5</v>
      </c>
      <c r="M601" s="4">
        <f>F601/I601</f>
        <v>0.12058653289600618</v>
      </c>
      <c r="N601" s="4">
        <f>I601/J601</f>
        <v>0.99980709876543217</v>
      </c>
    </row>
    <row r="602" spans="1:14" x14ac:dyDescent="0.3">
      <c r="A602" s="29">
        <v>46052</v>
      </c>
      <c r="B602" s="8">
        <f>YEAR(A602)</f>
        <v>2026</v>
      </c>
      <c r="C602" s="27" t="str">
        <f>TEXT(A602,"MMMM")</f>
        <v>janeiro</v>
      </c>
      <c r="D602" s="30" t="s">
        <v>27</v>
      </c>
      <c r="E602" s="30" t="s">
        <v>34</v>
      </c>
      <c r="F602" s="31">
        <v>3.125E-2</v>
      </c>
      <c r="G602" s="31">
        <v>0.33384259259259258</v>
      </c>
      <c r="H602" s="31">
        <v>0.63723379629629628</v>
      </c>
      <c r="I602" s="43">
        <f>H602-G602</f>
        <v>0.3033912037037037</v>
      </c>
      <c r="J602" s="43">
        <v>0.3</v>
      </c>
      <c r="K602" s="2">
        <f>I602-J602</f>
        <v>3.3912037037037157E-3</v>
      </c>
      <c r="L602" s="3"/>
      <c r="M602" s="4">
        <f>F602/I602</f>
        <v>0.10300232708961203</v>
      </c>
      <c r="N602" s="4">
        <f>I602/J602</f>
        <v>1.0113040123456791</v>
      </c>
    </row>
    <row r="603" spans="1:14" x14ac:dyDescent="0.3">
      <c r="A603" s="29">
        <v>46052</v>
      </c>
      <c r="B603" s="8">
        <f>YEAR(A603)</f>
        <v>2026</v>
      </c>
      <c r="C603" s="27" t="str">
        <f>TEXT(A603,"MMMM")</f>
        <v>janeiro</v>
      </c>
      <c r="D603" s="30" t="s">
        <v>68</v>
      </c>
      <c r="E603" s="30" t="s">
        <v>34</v>
      </c>
      <c r="F603" s="31">
        <v>4.0671296296296296E-2</v>
      </c>
      <c r="G603" s="31">
        <v>0.33413194444444444</v>
      </c>
      <c r="H603" s="31">
        <v>0.63405092592592593</v>
      </c>
      <c r="I603" s="43">
        <f>H603-G603</f>
        <v>0.29991898148148149</v>
      </c>
      <c r="J603" s="43">
        <v>0.3</v>
      </c>
      <c r="K603" s="2"/>
      <c r="L603" s="3">
        <f>J603-I603</f>
        <v>8.1018518518494176E-5</v>
      </c>
      <c r="M603" s="4">
        <f>F603/I603</f>
        <v>0.13560761007988267</v>
      </c>
      <c r="N603" s="4">
        <f>I603/J603</f>
        <v>0.99972993827160506</v>
      </c>
    </row>
    <row r="604" spans="1:14" x14ac:dyDescent="0.3">
      <c r="A604" s="29">
        <v>46052</v>
      </c>
      <c r="B604" s="8">
        <f>YEAR(A604)</f>
        <v>2026</v>
      </c>
      <c r="C604" s="27" t="str">
        <f>TEXT(A604,"MMMM")</f>
        <v>janeiro</v>
      </c>
      <c r="D604" s="30" t="s">
        <v>32</v>
      </c>
      <c r="E604" s="30" t="s">
        <v>34</v>
      </c>
      <c r="F604" s="31">
        <v>3.318287037037037E-2</v>
      </c>
      <c r="G604" s="31">
        <v>0.44796296296296295</v>
      </c>
      <c r="H604" s="31">
        <v>0.75</v>
      </c>
      <c r="I604" s="43">
        <f>H604-G604</f>
        <v>0.30203703703703705</v>
      </c>
      <c r="J604" s="43">
        <v>0.3</v>
      </c>
      <c r="K604" s="2">
        <f>I604-J604</f>
        <v>2.0370370370370594E-3</v>
      </c>
      <c r="L604" s="3"/>
      <c r="M604" s="4">
        <f>F604/I604</f>
        <v>0.10986358062538319</v>
      </c>
      <c r="N604" s="4">
        <f>I604/J604</f>
        <v>1.0067901234567902</v>
      </c>
    </row>
    <row r="605" spans="1:14" x14ac:dyDescent="0.3">
      <c r="A605" s="29">
        <v>46052</v>
      </c>
      <c r="B605" s="8">
        <f>YEAR(A605)</f>
        <v>2026</v>
      </c>
      <c r="C605" s="27" t="str">
        <f>TEXT(A605,"MMMM")</f>
        <v>janeiro</v>
      </c>
      <c r="D605" s="30" t="s">
        <v>30</v>
      </c>
      <c r="E605" s="30" t="s">
        <v>34</v>
      </c>
      <c r="F605" s="31">
        <v>5.9583333333333335E-2</v>
      </c>
      <c r="G605" s="31">
        <v>0.33454861111111112</v>
      </c>
      <c r="H605" s="31">
        <v>0.63545138888888886</v>
      </c>
      <c r="I605" s="43">
        <f>H605-G605</f>
        <v>0.30090277777777774</v>
      </c>
      <c r="J605" s="43">
        <v>0.3</v>
      </c>
      <c r="K605" s="2">
        <f>I605-J605</f>
        <v>9.0277777777775237E-4</v>
      </c>
      <c r="L605" s="3"/>
      <c r="M605" s="4">
        <f>F605/I605</f>
        <v>0.19801523194091855</v>
      </c>
      <c r="N605" s="4">
        <f>I605/J605</f>
        <v>1.0030092592592592</v>
      </c>
    </row>
    <row r="606" spans="1:14" x14ac:dyDescent="0.3">
      <c r="A606" s="29">
        <v>46052</v>
      </c>
      <c r="B606" s="8">
        <f>YEAR(A606)</f>
        <v>2026</v>
      </c>
      <c r="C606" s="27" t="str">
        <f>TEXT(A606,"MMMM")</f>
        <v>janeiro</v>
      </c>
      <c r="D606" s="30" t="s">
        <v>28</v>
      </c>
      <c r="E606" s="30" t="s">
        <v>14</v>
      </c>
      <c r="F606" s="31">
        <v>3.8541666666666669E-2</v>
      </c>
      <c r="G606" s="31">
        <v>0.41857638888888887</v>
      </c>
      <c r="H606" s="31">
        <v>0.75</v>
      </c>
      <c r="I606" s="43">
        <f>H606-G606</f>
        <v>0.33142361111111113</v>
      </c>
      <c r="J606" s="43">
        <v>0.3</v>
      </c>
      <c r="K606" s="2">
        <f>I606-J606</f>
        <v>3.1423611111111138E-2</v>
      </c>
      <c r="L606" s="3"/>
      <c r="M606" s="4">
        <f>F606/I606</f>
        <v>0.11629125196437926</v>
      </c>
      <c r="N606" s="4">
        <f>I606/J606</f>
        <v>1.1047453703703705</v>
      </c>
    </row>
    <row r="607" spans="1:14" x14ac:dyDescent="0.3">
      <c r="A607" s="29">
        <v>46052</v>
      </c>
      <c r="B607" s="8">
        <f>YEAR(A607)</f>
        <v>2026</v>
      </c>
      <c r="C607" s="27" t="str">
        <f>TEXT(A607,"MMMM")</f>
        <v>janeiro</v>
      </c>
      <c r="D607" s="30" t="s">
        <v>29</v>
      </c>
      <c r="E607" s="30" t="s">
        <v>14</v>
      </c>
      <c r="F607" s="31">
        <v>2.9953703703703705E-2</v>
      </c>
      <c r="G607" s="31">
        <v>0.3397222222222222</v>
      </c>
      <c r="H607" s="31">
        <v>0.63359953703703709</v>
      </c>
      <c r="I607" s="43">
        <f>H607-G607</f>
        <v>0.29387731481481488</v>
      </c>
      <c r="J607" s="43">
        <v>0.3</v>
      </c>
      <c r="K607" s="2"/>
      <c r="L607" s="3">
        <f>J607-I607</f>
        <v>6.1226851851851061E-3</v>
      </c>
      <c r="M607" s="4">
        <f>F607/I607</f>
        <v>0.10192587924855262</v>
      </c>
      <c r="N607" s="4">
        <f>I607/J607</f>
        <v>0.97959104938271635</v>
      </c>
    </row>
    <row r="608" spans="1:14" x14ac:dyDescent="0.3">
      <c r="A608" s="29">
        <v>46055</v>
      </c>
      <c r="B608" s="8">
        <f>YEAR(A608)</f>
        <v>2026</v>
      </c>
      <c r="C608" s="27" t="str">
        <f>TEXT(A608,"MMMM")</f>
        <v>fevereiro</v>
      </c>
      <c r="D608" s="30" t="s">
        <v>47</v>
      </c>
      <c r="E608" s="30" t="s">
        <v>21</v>
      </c>
      <c r="F608" s="31">
        <v>4.3761574074074071E-2</v>
      </c>
      <c r="G608" s="31">
        <v>0.5088773148148148</v>
      </c>
      <c r="H608" s="31">
        <v>0.75006944444444446</v>
      </c>
      <c r="I608" s="43">
        <f>H608-G608</f>
        <v>0.24119212962962966</v>
      </c>
      <c r="J608" s="43">
        <v>0.25</v>
      </c>
      <c r="K608" s="2"/>
      <c r="L608" s="3">
        <f>J608-I608</f>
        <v>8.8078703703703409E-3</v>
      </c>
      <c r="M608" s="4">
        <f>F608/I608</f>
        <v>0.18143864868755694</v>
      </c>
      <c r="N608" s="4">
        <f>I608/J608</f>
        <v>0.96476851851851864</v>
      </c>
    </row>
    <row r="609" spans="1:14" x14ac:dyDescent="0.3">
      <c r="A609" s="29">
        <v>46055</v>
      </c>
      <c r="B609" s="8">
        <f>YEAR(A609)</f>
        <v>2026</v>
      </c>
      <c r="C609" s="27" t="str">
        <f>TEXT(A609,"MMMM")</f>
        <v>fevereiro</v>
      </c>
      <c r="D609" s="30" t="s">
        <v>18</v>
      </c>
      <c r="E609" s="30" t="s">
        <v>14</v>
      </c>
      <c r="F609" s="31">
        <v>2.1319444444444443E-2</v>
      </c>
      <c r="G609" s="31">
        <v>0.54418981481481477</v>
      </c>
      <c r="H609" s="31">
        <v>0.79461805555555554</v>
      </c>
      <c r="I609" s="43">
        <f>H609-G609</f>
        <v>0.25042824074074077</v>
      </c>
      <c r="J609" s="43">
        <v>0.3</v>
      </c>
      <c r="K609" s="2"/>
      <c r="L609" s="3">
        <f>J609-I609</f>
        <v>4.9571759259259218E-2</v>
      </c>
      <c r="M609" s="4">
        <f>F609/I609</f>
        <v>8.5131949900633164E-2</v>
      </c>
      <c r="N609" s="4">
        <f>I609/J609</f>
        <v>0.83476080246913598</v>
      </c>
    </row>
    <row r="610" spans="1:14" x14ac:dyDescent="0.3">
      <c r="A610" s="29">
        <v>46055</v>
      </c>
      <c r="B610" s="8">
        <f>YEAR(A610)</f>
        <v>2026</v>
      </c>
      <c r="C610" s="27" t="str">
        <f>TEXT(A610,"MMMM")</f>
        <v>fevereiro</v>
      </c>
      <c r="D610" s="30" t="s">
        <v>69</v>
      </c>
      <c r="E610" s="30" t="s">
        <v>34</v>
      </c>
      <c r="F610" s="31">
        <v>4.7395833333333331E-2</v>
      </c>
      <c r="G610" s="31">
        <v>0.34589120370370369</v>
      </c>
      <c r="H610" s="31">
        <v>0.69815972222222222</v>
      </c>
      <c r="I610" s="43">
        <f>H610-G610</f>
        <v>0.35226851851851854</v>
      </c>
      <c r="J610" s="43">
        <v>0.3</v>
      </c>
      <c r="K610" s="2">
        <f>I610-J610</f>
        <v>5.2268518518518547E-2</v>
      </c>
      <c r="L610" s="3"/>
      <c r="M610" s="4">
        <f>F610/I610</f>
        <v>0.13454461821527139</v>
      </c>
      <c r="N610" s="4">
        <f>I610/J610</f>
        <v>1.1742283950617285</v>
      </c>
    </row>
    <row r="611" spans="1:14" x14ac:dyDescent="0.3">
      <c r="A611" s="29">
        <v>46055</v>
      </c>
      <c r="B611" s="8">
        <f>YEAR(A611)</f>
        <v>2026</v>
      </c>
      <c r="C611" s="27" t="str">
        <f>TEXT(A611,"MMMM")</f>
        <v>fevereiro</v>
      </c>
      <c r="D611" s="30" t="s">
        <v>33</v>
      </c>
      <c r="E611" s="30" t="s">
        <v>34</v>
      </c>
      <c r="F611" s="31">
        <v>3.4282407407407407E-2</v>
      </c>
      <c r="G611" s="31">
        <v>0.33333333333333331</v>
      </c>
      <c r="H611" s="31">
        <v>0.63373842592592589</v>
      </c>
      <c r="I611" s="43">
        <f>H611-G611</f>
        <v>0.30040509259259257</v>
      </c>
      <c r="J611" s="43">
        <v>0.3</v>
      </c>
      <c r="K611" s="2">
        <f>I611-J611</f>
        <v>4.050925925925819E-4</v>
      </c>
      <c r="L611" s="3"/>
      <c r="M611" s="4">
        <f>F611/I611</f>
        <v>0.11412059333461762</v>
      </c>
      <c r="N611" s="4">
        <f>I611/J611</f>
        <v>1.0013503086419753</v>
      </c>
    </row>
    <row r="612" spans="1:14" x14ac:dyDescent="0.3">
      <c r="A612" s="29">
        <v>46055</v>
      </c>
      <c r="B612" s="8">
        <f>YEAR(A612)</f>
        <v>2026</v>
      </c>
      <c r="C612" s="27" t="str">
        <f>TEXT(A612,"MMMM")</f>
        <v>fevereiro</v>
      </c>
      <c r="D612" s="30" t="s">
        <v>24</v>
      </c>
      <c r="E612" s="30" t="s">
        <v>14</v>
      </c>
      <c r="F612" s="31">
        <v>2.8807870370370369E-2</v>
      </c>
      <c r="G612" s="31">
        <v>0.46035879629629628</v>
      </c>
      <c r="H612" s="31">
        <v>0.75172453703703701</v>
      </c>
      <c r="I612" s="43">
        <f>H612-G612</f>
        <v>0.29136574074074073</v>
      </c>
      <c r="J612" s="43">
        <v>0.3</v>
      </c>
      <c r="K612" s="2"/>
      <c r="L612" s="3">
        <f>J612-I612</f>
        <v>8.6342592592592582E-3</v>
      </c>
      <c r="M612" s="4">
        <f>F612/I612</f>
        <v>9.8871851910701511E-2</v>
      </c>
      <c r="N612" s="4">
        <f>I612/J612</f>
        <v>0.9712191358024691</v>
      </c>
    </row>
    <row r="613" spans="1:14" x14ac:dyDescent="0.3">
      <c r="A613" s="29">
        <v>46055</v>
      </c>
      <c r="B613" s="8">
        <f>YEAR(A613)</f>
        <v>2026</v>
      </c>
      <c r="C613" s="27" t="str">
        <f>TEXT(A613,"MMMM")</f>
        <v>fevereiro</v>
      </c>
      <c r="D613" s="30" t="s">
        <v>26</v>
      </c>
      <c r="E613" s="30" t="s">
        <v>15</v>
      </c>
      <c r="F613" s="31">
        <v>3.5868055555555556E-2</v>
      </c>
      <c r="G613" s="31">
        <v>0.3334259259259259</v>
      </c>
      <c r="H613" s="31">
        <v>0.67681712962962959</v>
      </c>
      <c r="I613" s="43">
        <f>H613-G613</f>
        <v>0.34339120370370368</v>
      </c>
      <c r="J613" s="43">
        <v>0.3</v>
      </c>
      <c r="K613" s="2">
        <f>I613-J613</f>
        <v>4.3391203703703696E-2</v>
      </c>
      <c r="L613" s="3"/>
      <c r="M613" s="4">
        <f>F613/I613</f>
        <v>0.10445245879537565</v>
      </c>
      <c r="N613" s="4">
        <f>I613/J613</f>
        <v>1.1446373456790124</v>
      </c>
    </row>
    <row r="614" spans="1:14" x14ac:dyDescent="0.3">
      <c r="A614" s="29">
        <v>46055</v>
      </c>
      <c r="B614" s="8">
        <f>YEAR(A614)</f>
        <v>2026</v>
      </c>
      <c r="C614" s="27" t="str">
        <f>TEXT(A614,"MMMM")</f>
        <v>fevereiro</v>
      </c>
      <c r="D614" s="30" t="s">
        <v>27</v>
      </c>
      <c r="E614" s="30" t="s">
        <v>34</v>
      </c>
      <c r="F614" s="31">
        <v>3.4791666666666665E-2</v>
      </c>
      <c r="G614" s="31">
        <v>0.33398148148148149</v>
      </c>
      <c r="H614" s="31">
        <v>0.71680555555555558</v>
      </c>
      <c r="I614" s="43">
        <f>H614-G614</f>
        <v>0.38282407407407409</v>
      </c>
      <c r="J614" s="43">
        <v>0.3</v>
      </c>
      <c r="K614" s="2">
        <f>I614-J614</f>
        <v>8.2824074074074105E-2</v>
      </c>
      <c r="L614" s="3"/>
      <c r="M614" s="4">
        <f>F614/I614</f>
        <v>9.0881605998306927E-2</v>
      </c>
      <c r="N614" s="4">
        <f>I614/J614</f>
        <v>1.2760802469135804</v>
      </c>
    </row>
    <row r="615" spans="1:14" x14ac:dyDescent="0.3">
      <c r="A615" s="29">
        <v>46055</v>
      </c>
      <c r="B615" s="8">
        <f>YEAR(A615)</f>
        <v>2026</v>
      </c>
      <c r="C615" s="27" t="str">
        <f>TEXT(A615,"MMMM")</f>
        <v>fevereiro</v>
      </c>
      <c r="D615" s="30" t="s">
        <v>68</v>
      </c>
      <c r="E615" s="30" t="s">
        <v>34</v>
      </c>
      <c r="F615" s="31">
        <v>4.7939814814814817E-2</v>
      </c>
      <c r="G615" s="31">
        <v>0.45047453703703705</v>
      </c>
      <c r="H615" s="31">
        <v>0.75134259259259262</v>
      </c>
      <c r="I615" s="43">
        <f>H615-G615</f>
        <v>0.30086805555555557</v>
      </c>
      <c r="J615" s="43">
        <v>0.3</v>
      </c>
      <c r="K615" s="2">
        <f>I615-J615</f>
        <v>8.6805555555558023E-4</v>
      </c>
      <c r="L615" s="3"/>
      <c r="M615" s="4">
        <f>F615/I615</f>
        <v>0.15933833429505675</v>
      </c>
      <c r="N615" s="4">
        <f>I615/J615</f>
        <v>1.0028935185185186</v>
      </c>
    </row>
    <row r="616" spans="1:14" x14ac:dyDescent="0.3">
      <c r="A616" s="29">
        <v>46055</v>
      </c>
      <c r="B616" s="8">
        <f>YEAR(A616)</f>
        <v>2026</v>
      </c>
      <c r="C616" s="27" t="str">
        <f>TEXT(A616,"MMMM")</f>
        <v>fevereiro</v>
      </c>
      <c r="D616" s="30" t="s">
        <v>32</v>
      </c>
      <c r="E616" s="30" t="s">
        <v>34</v>
      </c>
      <c r="F616" s="31">
        <v>4.6504629629629632E-2</v>
      </c>
      <c r="G616" s="31">
        <v>0.45021990740740742</v>
      </c>
      <c r="H616" s="31">
        <v>0.75009259259259264</v>
      </c>
      <c r="I616" s="43">
        <f>H616-G616</f>
        <v>0.29987268518518523</v>
      </c>
      <c r="J616" s="43">
        <v>0.3</v>
      </c>
      <c r="K616" s="2"/>
      <c r="L616" s="3">
        <f>J616-I616</f>
        <v>1.273148148147607E-4</v>
      </c>
      <c r="M616" s="4">
        <f>F616/I616</f>
        <v>0.15508124589910841</v>
      </c>
      <c r="N616" s="4">
        <f>I616/J616</f>
        <v>0.99957561728395083</v>
      </c>
    </row>
    <row r="617" spans="1:14" x14ac:dyDescent="0.3">
      <c r="A617" s="29">
        <v>46055</v>
      </c>
      <c r="B617" s="8">
        <f>YEAR(A617)</f>
        <v>2026</v>
      </c>
      <c r="C617" s="27" t="str">
        <f>TEXT(A617,"MMMM")</f>
        <v>fevereiro</v>
      </c>
      <c r="D617" s="30" t="s">
        <v>30</v>
      </c>
      <c r="E617" s="30" t="s">
        <v>34</v>
      </c>
      <c r="F617" s="31">
        <v>5.1342592592592592E-2</v>
      </c>
      <c r="G617" s="31">
        <v>0.33392361111111113</v>
      </c>
      <c r="H617" s="31">
        <v>0.63366898148148143</v>
      </c>
      <c r="I617" s="43">
        <f>H617-G617</f>
        <v>0.2997453703703703</v>
      </c>
      <c r="J617" s="43">
        <v>0.3</v>
      </c>
      <c r="K617" s="2"/>
      <c r="L617" s="3">
        <f>J617-I617</f>
        <v>2.5462962962968794E-4</v>
      </c>
      <c r="M617" s="4">
        <f>F617/I617</f>
        <v>0.1712873580971504</v>
      </c>
      <c r="N617" s="4">
        <f>I617/J617</f>
        <v>0.999151234567901</v>
      </c>
    </row>
    <row r="618" spans="1:14" x14ac:dyDescent="0.3">
      <c r="A618" s="29">
        <v>46055</v>
      </c>
      <c r="B618" s="8">
        <f>YEAR(A618)</f>
        <v>2026</v>
      </c>
      <c r="C618" s="27" t="str">
        <f>TEXT(A618,"MMMM")</f>
        <v>fevereiro</v>
      </c>
      <c r="D618" s="30" t="s">
        <v>28</v>
      </c>
      <c r="E618" s="30" t="s">
        <v>14</v>
      </c>
      <c r="F618" s="31">
        <v>3.2870370370370369E-2</v>
      </c>
      <c r="G618" s="31">
        <v>0.45731481481481484</v>
      </c>
      <c r="H618" s="31">
        <v>0.7534953703703704</v>
      </c>
      <c r="I618" s="43">
        <f>H618-G618</f>
        <v>0.29618055555555556</v>
      </c>
      <c r="J618" s="43">
        <v>0.3</v>
      </c>
      <c r="K618" s="2"/>
      <c r="L618" s="3">
        <f>J618-I618</f>
        <v>3.8194444444444309E-3</v>
      </c>
      <c r="M618" s="4">
        <f>F618/I618</f>
        <v>0.11098085189527158</v>
      </c>
      <c r="N618" s="4">
        <f>I618/J618</f>
        <v>0.9872685185185186</v>
      </c>
    </row>
    <row r="619" spans="1:14" x14ac:dyDescent="0.3">
      <c r="A619" s="29">
        <v>46055</v>
      </c>
      <c r="B619" s="8">
        <f>YEAR(A619)</f>
        <v>2026</v>
      </c>
      <c r="C619" s="27" t="str">
        <f>TEXT(A619,"MMMM")</f>
        <v>fevereiro</v>
      </c>
      <c r="D619" s="30" t="s">
        <v>29</v>
      </c>
      <c r="E619" s="30" t="s">
        <v>14</v>
      </c>
      <c r="F619" s="31">
        <v>3.3796296296296297E-2</v>
      </c>
      <c r="G619" s="31">
        <v>0.3454861111111111</v>
      </c>
      <c r="H619" s="31">
        <v>0.65755787037037039</v>
      </c>
      <c r="I619" s="43">
        <f>H619-G619</f>
        <v>0.31207175925925928</v>
      </c>
      <c r="J619" s="43">
        <v>0.3</v>
      </c>
      <c r="K619" s="2">
        <f>I619-J619</f>
        <v>1.2071759259259296E-2</v>
      </c>
      <c r="L619" s="3"/>
      <c r="M619" s="4">
        <f>F619/I619</f>
        <v>0.1082965545376998</v>
      </c>
      <c r="N619" s="4">
        <f>I619/J619</f>
        <v>1.0402391975308642</v>
      </c>
    </row>
    <row r="620" spans="1:14" x14ac:dyDescent="0.3">
      <c r="A620" s="29">
        <v>46056</v>
      </c>
      <c r="B620" s="8">
        <f>YEAR(A620)</f>
        <v>2026</v>
      </c>
      <c r="C620" s="27" t="str">
        <f>TEXT(A620,"MMMM")</f>
        <v>fevereiro</v>
      </c>
      <c r="D620" s="30" t="s">
        <v>47</v>
      </c>
      <c r="E620" s="30" t="s">
        <v>21</v>
      </c>
      <c r="F620" s="31">
        <v>5.4710648148148147E-2</v>
      </c>
      <c r="G620" s="31">
        <v>0.50668981481481479</v>
      </c>
      <c r="H620" s="31">
        <v>0.75042824074074077</v>
      </c>
      <c r="I620" s="43">
        <f>H620-G620</f>
        <v>0.24373842592592598</v>
      </c>
      <c r="J620" s="43">
        <v>0.25</v>
      </c>
      <c r="K620" s="2"/>
      <c r="L620" s="3">
        <f>J620-I620</f>
        <v>6.2615740740740167E-3</v>
      </c>
      <c r="M620" s="4">
        <f>F620/I620</f>
        <v>0.22446459945866371</v>
      </c>
      <c r="N620" s="4">
        <f>I620/J620</f>
        <v>0.97495370370370393</v>
      </c>
    </row>
    <row r="621" spans="1:14" x14ac:dyDescent="0.3">
      <c r="A621" s="29">
        <v>46056</v>
      </c>
      <c r="B621" s="8">
        <f>YEAR(A621)</f>
        <v>2026</v>
      </c>
      <c r="C621" s="27" t="str">
        <f>TEXT(A621,"MMMM")</f>
        <v>fevereiro</v>
      </c>
      <c r="D621" s="30" t="s">
        <v>18</v>
      </c>
      <c r="E621" s="30" t="s">
        <v>14</v>
      </c>
      <c r="F621" s="31">
        <v>3.0138888888888889E-2</v>
      </c>
      <c r="G621" s="31">
        <v>0.53510416666666671</v>
      </c>
      <c r="H621" s="31">
        <v>0.8084837962962963</v>
      </c>
      <c r="I621" s="43">
        <f>H621-G621</f>
        <v>0.27337962962962958</v>
      </c>
      <c r="J621" s="43">
        <v>0.25833333333333336</v>
      </c>
      <c r="K621" s="2">
        <f>I621-J621</f>
        <v>1.5046296296296224E-2</v>
      </c>
      <c r="L621" s="3"/>
      <c r="M621" s="4">
        <f>F621/I621</f>
        <v>0.1102455546147333</v>
      </c>
      <c r="N621" s="4">
        <f>I621/J621</f>
        <v>1.0582437275985661</v>
      </c>
    </row>
    <row r="622" spans="1:14" x14ac:dyDescent="0.3">
      <c r="A622" s="29">
        <v>46056</v>
      </c>
      <c r="B622" s="8">
        <f>YEAR(A622)</f>
        <v>2026</v>
      </c>
      <c r="C622" s="27" t="str">
        <f>TEXT(A622,"MMMM")</f>
        <v>fevereiro</v>
      </c>
      <c r="D622" s="30" t="s">
        <v>69</v>
      </c>
      <c r="E622" s="30" t="s">
        <v>34</v>
      </c>
      <c r="F622" s="31">
        <v>4.5462962962962962E-2</v>
      </c>
      <c r="G622" s="31">
        <v>0.33662037037037035</v>
      </c>
      <c r="H622" s="31">
        <v>0.71690972222222227</v>
      </c>
      <c r="I622" s="43">
        <f>H622-G622</f>
        <v>0.38028935185185192</v>
      </c>
      <c r="J622" s="43">
        <v>0.3</v>
      </c>
      <c r="K622" s="2">
        <f>I622-J622</f>
        <v>8.0289351851851931E-2</v>
      </c>
      <c r="L622" s="3"/>
      <c r="M622" s="4">
        <f>F622/I622</f>
        <v>0.11954834586237328</v>
      </c>
      <c r="N622" s="4">
        <f>I622/J622</f>
        <v>1.2676311728395064</v>
      </c>
    </row>
    <row r="623" spans="1:14" x14ac:dyDescent="0.3">
      <c r="A623" s="29">
        <v>46056</v>
      </c>
      <c r="B623" s="8">
        <f>YEAR(A623)</f>
        <v>2026</v>
      </c>
      <c r="C623" s="27" t="str">
        <f>TEXT(A623,"MMMM")</f>
        <v>fevereiro</v>
      </c>
      <c r="D623" s="30" t="s">
        <v>33</v>
      </c>
      <c r="E623" s="30" t="s">
        <v>34</v>
      </c>
      <c r="F623" s="31">
        <v>5.2592592592592594E-2</v>
      </c>
      <c r="G623" s="31">
        <v>0.3333564814814815</v>
      </c>
      <c r="H623" s="31">
        <v>0.66769675925925931</v>
      </c>
      <c r="I623" s="43">
        <f>H623-G623</f>
        <v>0.33434027777777781</v>
      </c>
      <c r="J623" s="43">
        <v>0.3</v>
      </c>
      <c r="K623" s="2">
        <f>I623-J623</f>
        <v>3.4340277777777817E-2</v>
      </c>
      <c r="L623" s="3"/>
      <c r="M623" s="4">
        <f>F623/I623</f>
        <v>0.15730259286184095</v>
      </c>
      <c r="N623" s="4">
        <f>I623/J623</f>
        <v>1.1144675925925926</v>
      </c>
    </row>
    <row r="624" spans="1:14" x14ac:dyDescent="0.3">
      <c r="A624" s="29">
        <v>46056</v>
      </c>
      <c r="B624" s="8">
        <f>YEAR(A624)</f>
        <v>2026</v>
      </c>
      <c r="C624" s="27" t="str">
        <f>TEXT(A624,"MMMM")</f>
        <v>fevereiro</v>
      </c>
      <c r="D624" s="30" t="s">
        <v>24</v>
      </c>
      <c r="E624" s="30" t="s">
        <v>14</v>
      </c>
      <c r="F624" s="31">
        <v>2.2303240740740742E-2</v>
      </c>
      <c r="G624" s="31">
        <v>0.46003472222222225</v>
      </c>
      <c r="H624" s="31">
        <v>0.75067129629629625</v>
      </c>
      <c r="I624" s="43">
        <f>H624-G624</f>
        <v>0.29063657407407401</v>
      </c>
      <c r="J624" s="43">
        <v>0.3</v>
      </c>
      <c r="K624" s="2"/>
      <c r="L624" s="3">
        <f>J624-I624</f>
        <v>9.3634259259259833E-3</v>
      </c>
      <c r="M624" s="4">
        <f>F624/I624</f>
        <v>7.6739277607423065E-2</v>
      </c>
      <c r="N624" s="4">
        <f>I624/J624</f>
        <v>0.96878858024691339</v>
      </c>
    </row>
    <row r="625" spans="1:14" x14ac:dyDescent="0.3">
      <c r="A625" s="29">
        <v>46056</v>
      </c>
      <c r="B625" s="8">
        <f>YEAR(A625)</f>
        <v>2026</v>
      </c>
      <c r="C625" s="27" t="str">
        <f>TEXT(A625,"MMMM")</f>
        <v>fevereiro</v>
      </c>
      <c r="D625" s="30" t="s">
        <v>26</v>
      </c>
      <c r="E625" s="30" t="s">
        <v>15</v>
      </c>
      <c r="F625" s="31">
        <v>4.4965277777777778E-2</v>
      </c>
      <c r="G625" s="31">
        <v>0.33341435185185186</v>
      </c>
      <c r="H625" s="31">
        <v>0.7179861111111111</v>
      </c>
      <c r="I625" s="43">
        <f>H625-G625</f>
        <v>0.38457175925925924</v>
      </c>
      <c r="J625" s="43">
        <v>0.3</v>
      </c>
      <c r="K625" s="2">
        <f>I625-J625</f>
        <v>8.4571759259259249E-2</v>
      </c>
      <c r="L625" s="3"/>
      <c r="M625" s="4">
        <f>F625/I625</f>
        <v>0.11692298431998074</v>
      </c>
      <c r="N625" s="4">
        <f>I625/J625</f>
        <v>1.2819058641975309</v>
      </c>
    </row>
    <row r="626" spans="1:14" x14ac:dyDescent="0.3">
      <c r="A626" s="29">
        <v>46056</v>
      </c>
      <c r="B626" s="8">
        <f>YEAR(A626)</f>
        <v>2026</v>
      </c>
      <c r="C626" s="27" t="str">
        <f>TEXT(A626,"MMMM")</f>
        <v>fevereiro</v>
      </c>
      <c r="D626" s="30" t="s">
        <v>27</v>
      </c>
      <c r="E626" s="30" t="s">
        <v>34</v>
      </c>
      <c r="F626" s="31">
        <v>3.923611111111111E-2</v>
      </c>
      <c r="G626" s="31">
        <v>0.33475694444444443</v>
      </c>
      <c r="H626" s="31">
        <v>0.7171643518518519</v>
      </c>
      <c r="I626" s="43">
        <f>H626-G626</f>
        <v>0.38240740740740747</v>
      </c>
      <c r="J626" s="43">
        <v>0.3</v>
      </c>
      <c r="K626" s="2">
        <f>I626-J626</f>
        <v>8.2407407407407485E-2</v>
      </c>
      <c r="L626" s="3"/>
      <c r="M626" s="4">
        <f>F626/I626</f>
        <v>0.10260290556900724</v>
      </c>
      <c r="N626" s="4">
        <f>I626/J626</f>
        <v>1.2746913580246917</v>
      </c>
    </row>
    <row r="627" spans="1:14" x14ac:dyDescent="0.3">
      <c r="A627" s="29">
        <v>46056</v>
      </c>
      <c r="B627" s="8">
        <f>YEAR(A627)</f>
        <v>2026</v>
      </c>
      <c r="C627" s="27" t="str">
        <f>TEXT(A627,"MMMM")</f>
        <v>fevereiro</v>
      </c>
      <c r="D627" s="30" t="s">
        <v>68</v>
      </c>
      <c r="E627" s="30" t="s">
        <v>34</v>
      </c>
      <c r="F627" s="31">
        <v>4.5706018518518521E-2</v>
      </c>
      <c r="G627" s="31">
        <v>0.44733796296296297</v>
      </c>
      <c r="H627" s="31">
        <v>0.75025462962962963</v>
      </c>
      <c r="I627" s="43">
        <f>H627-G627</f>
        <v>0.30291666666666667</v>
      </c>
      <c r="J627" s="43">
        <v>0.3</v>
      </c>
      <c r="K627" s="2">
        <f>I627-J627</f>
        <v>2.9166666666666785E-3</v>
      </c>
      <c r="L627" s="3"/>
      <c r="M627" s="4">
        <f>F627/I627</f>
        <v>0.15088644352743391</v>
      </c>
      <c r="N627" s="4">
        <f>I627/J627</f>
        <v>1.0097222222222222</v>
      </c>
    </row>
    <row r="628" spans="1:14" x14ac:dyDescent="0.3">
      <c r="A628" s="29">
        <v>46056</v>
      </c>
      <c r="B628" s="8">
        <f>YEAR(A628)</f>
        <v>2026</v>
      </c>
      <c r="C628" s="27" t="str">
        <f>TEXT(A628,"MMMM")</f>
        <v>fevereiro</v>
      </c>
      <c r="D628" s="30" t="s">
        <v>32</v>
      </c>
      <c r="E628" s="30" t="s">
        <v>34</v>
      </c>
      <c r="F628" s="31">
        <v>4.3946759259259262E-2</v>
      </c>
      <c r="G628" s="31">
        <v>0.42811342592592594</v>
      </c>
      <c r="H628" s="31">
        <v>0.7503009259259259</v>
      </c>
      <c r="I628" s="43">
        <f>H628-G628</f>
        <v>0.32218749999999996</v>
      </c>
      <c r="J628" s="43">
        <v>0.3</v>
      </c>
      <c r="K628" s="2">
        <f>I628-J628</f>
        <v>2.2187499999999971E-2</v>
      </c>
      <c r="L628" s="3"/>
      <c r="M628" s="4">
        <f>F628/I628</f>
        <v>0.13640119265725476</v>
      </c>
      <c r="N628" s="4">
        <f>I628/J628</f>
        <v>1.0739583333333333</v>
      </c>
    </row>
    <row r="629" spans="1:14" x14ac:dyDescent="0.3">
      <c r="A629" s="29">
        <v>46056</v>
      </c>
      <c r="B629" s="8">
        <f>YEAR(A629)</f>
        <v>2026</v>
      </c>
      <c r="C629" s="27" t="str">
        <f>TEXT(A629,"MMMM")</f>
        <v>fevereiro</v>
      </c>
      <c r="D629" s="30" t="s">
        <v>28</v>
      </c>
      <c r="E629" s="30" t="s">
        <v>14</v>
      </c>
      <c r="F629" s="31">
        <v>3.4930555555555555E-2</v>
      </c>
      <c r="G629" s="31">
        <v>0.45157407407407407</v>
      </c>
      <c r="H629" s="31">
        <v>0.75268518518518523</v>
      </c>
      <c r="I629" s="43">
        <f>H629-G629</f>
        <v>0.30111111111111116</v>
      </c>
      <c r="J629" s="43">
        <v>0.3</v>
      </c>
      <c r="K629" s="2">
        <f>I629-J629</f>
        <v>1.1111111111111738E-3</v>
      </c>
      <c r="L629" s="3"/>
      <c r="M629" s="4">
        <f>F629/I629</f>
        <v>0.11600553505535054</v>
      </c>
      <c r="N629" s="4">
        <f>I629/J629</f>
        <v>1.003703703703704</v>
      </c>
    </row>
    <row r="630" spans="1:14" x14ac:dyDescent="0.3">
      <c r="A630" s="29">
        <v>46056</v>
      </c>
      <c r="B630" s="8">
        <f>YEAR(A630)</f>
        <v>2026</v>
      </c>
      <c r="C630" s="27" t="str">
        <f>TEXT(A630,"MMMM")</f>
        <v>fevereiro</v>
      </c>
      <c r="D630" s="30" t="s">
        <v>29</v>
      </c>
      <c r="E630" s="30" t="s">
        <v>14</v>
      </c>
      <c r="F630" s="31">
        <v>3.019675925925926E-2</v>
      </c>
      <c r="G630" s="31">
        <v>0.33354166666666668</v>
      </c>
      <c r="H630" s="31">
        <v>0.7167013888888889</v>
      </c>
      <c r="I630" s="43">
        <f>H630-G630</f>
        <v>0.38315972222222222</v>
      </c>
      <c r="J630" s="43">
        <v>0.3</v>
      </c>
      <c r="K630" s="2">
        <f>I630-J630</f>
        <v>8.3159722222222232E-2</v>
      </c>
      <c r="L630" s="3"/>
      <c r="M630" s="4">
        <f>F630/I630</f>
        <v>7.8809847455067208E-2</v>
      </c>
      <c r="N630" s="4">
        <f>I630/J630</f>
        <v>1.2771990740740742</v>
      </c>
    </row>
    <row r="631" spans="1:14" x14ac:dyDescent="0.3">
      <c r="A631" s="29">
        <v>46057</v>
      </c>
      <c r="B631" s="8">
        <f>YEAR(A631)</f>
        <v>2026</v>
      </c>
      <c r="C631" s="27" t="str">
        <f>TEXT(A631,"MMMM")</f>
        <v>fevereiro</v>
      </c>
      <c r="D631" s="30" t="s">
        <v>16</v>
      </c>
      <c r="E631" s="30" t="s">
        <v>34</v>
      </c>
      <c r="F631" s="31">
        <v>4.0416666666666663E-2</v>
      </c>
      <c r="G631" s="31">
        <v>0.33387731481481481</v>
      </c>
      <c r="H631" s="31">
        <v>0.66349537037037032</v>
      </c>
      <c r="I631" s="43">
        <f>H631-G631</f>
        <v>0.32961805555555551</v>
      </c>
      <c r="J631" s="43">
        <v>0.3</v>
      </c>
      <c r="K631" s="2">
        <f>I631-J631</f>
        <v>2.9618055555555522E-2</v>
      </c>
      <c r="L631" s="3"/>
      <c r="M631" s="4">
        <f>F631/I631</f>
        <v>0.12261666491098705</v>
      </c>
      <c r="N631" s="4">
        <f>I631/J631</f>
        <v>1.0987268518518518</v>
      </c>
    </row>
    <row r="632" spans="1:14" x14ac:dyDescent="0.3">
      <c r="A632" s="29">
        <v>46057</v>
      </c>
      <c r="B632" s="8">
        <f>YEAR(A632)</f>
        <v>2026</v>
      </c>
      <c r="C632" s="27" t="str">
        <f>TEXT(A632,"MMMM")</f>
        <v>fevereiro</v>
      </c>
      <c r="D632" s="30" t="s">
        <v>47</v>
      </c>
      <c r="E632" s="30" t="s">
        <v>21</v>
      </c>
      <c r="F632" s="31">
        <v>4.9953703703703702E-2</v>
      </c>
      <c r="G632" s="31">
        <v>0.50672453703703701</v>
      </c>
      <c r="H632" s="31">
        <v>0.75019675925925922</v>
      </c>
      <c r="I632" s="43">
        <f>H632-G632</f>
        <v>0.2434722222222222</v>
      </c>
      <c r="J632" s="43">
        <v>0.25</v>
      </c>
      <c r="K632" s="2"/>
      <c r="L632" s="3">
        <f>J632-I632</f>
        <v>6.527777777777799E-3</v>
      </c>
      <c r="M632" s="4">
        <f>F632/I632</f>
        <v>0.20517208594789885</v>
      </c>
      <c r="N632" s="4">
        <f>I632/J632</f>
        <v>0.9738888888888888</v>
      </c>
    </row>
    <row r="633" spans="1:14" x14ac:dyDescent="0.3">
      <c r="A633" s="29">
        <v>46057</v>
      </c>
      <c r="B633" s="8">
        <f>YEAR(A633)</f>
        <v>2026</v>
      </c>
      <c r="C633" s="27" t="str">
        <f>TEXT(A633,"MMMM")</f>
        <v>fevereiro</v>
      </c>
      <c r="D633" s="30" t="s">
        <v>18</v>
      </c>
      <c r="E633" s="30" t="s">
        <v>14</v>
      </c>
      <c r="F633" s="31">
        <v>3.246527777777778E-2</v>
      </c>
      <c r="G633" s="31">
        <v>0.51364583333333336</v>
      </c>
      <c r="H633" s="31">
        <v>0.79935185185185187</v>
      </c>
      <c r="I633" s="43">
        <f>H633-G633</f>
        <v>0.28570601851851851</v>
      </c>
      <c r="J633" s="43">
        <v>0.25833333333333336</v>
      </c>
      <c r="K633" s="2">
        <f>I633-J633</f>
        <v>2.7372685185185153E-2</v>
      </c>
      <c r="L633" s="3"/>
      <c r="M633" s="4">
        <f>F633/I633</f>
        <v>0.11363176017824592</v>
      </c>
      <c r="N633" s="4">
        <f>I633/J633</f>
        <v>1.1059587813620071</v>
      </c>
    </row>
    <row r="634" spans="1:14" x14ac:dyDescent="0.3">
      <c r="A634" s="29">
        <v>46057</v>
      </c>
      <c r="B634" s="8">
        <f>YEAR(A634)</f>
        <v>2026</v>
      </c>
      <c r="C634" s="27" t="str">
        <f>TEXT(A634,"MMMM")</f>
        <v>fevereiro</v>
      </c>
      <c r="D634" s="30" t="s">
        <v>69</v>
      </c>
      <c r="E634" s="30" t="s">
        <v>34</v>
      </c>
      <c r="F634" s="31">
        <v>4.6203703703703705E-2</v>
      </c>
      <c r="G634" s="31">
        <v>0.33435185185185184</v>
      </c>
      <c r="H634" s="31">
        <v>0.63416666666666666</v>
      </c>
      <c r="I634" s="43">
        <f>H634-G634</f>
        <v>0.29981481481481481</v>
      </c>
      <c r="J634" s="43">
        <v>0.3</v>
      </c>
      <c r="K634" s="2"/>
      <c r="L634" s="3">
        <f>J634-I634</f>
        <v>1.8518518518517713E-4</v>
      </c>
      <c r="M634" s="4">
        <f>F634/I634</f>
        <v>0.15410747374922792</v>
      </c>
      <c r="N634" s="4">
        <f>I634/J634</f>
        <v>0.99938271604938278</v>
      </c>
    </row>
    <row r="635" spans="1:14" x14ac:dyDescent="0.3">
      <c r="A635" s="29">
        <v>46057</v>
      </c>
      <c r="B635" s="8">
        <f>YEAR(A635)</f>
        <v>2026</v>
      </c>
      <c r="C635" s="27" t="str">
        <f>TEXT(A635,"MMMM")</f>
        <v>fevereiro</v>
      </c>
      <c r="D635" s="30" t="s">
        <v>22</v>
      </c>
      <c r="E635" s="30" t="s">
        <v>21</v>
      </c>
      <c r="F635" s="31">
        <v>3.7662037037037036E-2</v>
      </c>
      <c r="G635" s="31">
        <v>0.44506944444444446</v>
      </c>
      <c r="H635" s="31">
        <v>0.75170138888888893</v>
      </c>
      <c r="I635" s="43">
        <f>H635-G635</f>
        <v>0.30663194444444447</v>
      </c>
      <c r="J635" s="43">
        <v>0.3</v>
      </c>
      <c r="K635" s="2">
        <f>I635-J635</f>
        <v>6.6319444444444819E-3</v>
      </c>
      <c r="L635" s="3"/>
      <c r="M635" s="4">
        <f>F635/I635</f>
        <v>0.12282489714264144</v>
      </c>
      <c r="N635" s="4">
        <f>I635/J635</f>
        <v>1.0221064814814815</v>
      </c>
    </row>
    <row r="636" spans="1:14" x14ac:dyDescent="0.3">
      <c r="A636" s="29">
        <v>46057</v>
      </c>
      <c r="B636" s="8">
        <f>YEAR(A636)</f>
        <v>2026</v>
      </c>
      <c r="C636" s="27" t="str">
        <f>TEXT(A636,"MMMM")</f>
        <v>fevereiro</v>
      </c>
      <c r="D636" s="30" t="s">
        <v>33</v>
      </c>
      <c r="E636" s="30" t="s">
        <v>34</v>
      </c>
      <c r="F636" s="31">
        <v>3.5752314814814813E-2</v>
      </c>
      <c r="G636" s="31">
        <v>0.33353009259259259</v>
      </c>
      <c r="H636" s="31">
        <v>0.66699074074074072</v>
      </c>
      <c r="I636" s="43">
        <f>H636-G636</f>
        <v>0.33346064814814813</v>
      </c>
      <c r="J636" s="43">
        <v>0.3</v>
      </c>
      <c r="K636" s="2">
        <f>I636-J636</f>
        <v>3.3460648148148142E-2</v>
      </c>
      <c r="L636" s="3"/>
      <c r="M636" s="4">
        <f>F636/I636</f>
        <v>0.10721599389122211</v>
      </c>
      <c r="N636" s="4">
        <f>I636/J636</f>
        <v>1.1115354938271604</v>
      </c>
    </row>
    <row r="637" spans="1:14" x14ac:dyDescent="0.3">
      <c r="A637" s="29">
        <v>46057</v>
      </c>
      <c r="B637" s="8">
        <f>YEAR(A637)</f>
        <v>2026</v>
      </c>
      <c r="C637" s="27" t="str">
        <f>TEXT(A637,"MMMM")</f>
        <v>fevereiro</v>
      </c>
      <c r="D637" s="30" t="s">
        <v>24</v>
      </c>
      <c r="E637" s="30" t="s">
        <v>14</v>
      </c>
      <c r="F637" s="31">
        <v>3.2789351851851854E-2</v>
      </c>
      <c r="G637" s="31">
        <v>0.46202546296296299</v>
      </c>
      <c r="H637" s="31">
        <v>0.75045138888888885</v>
      </c>
      <c r="I637" s="43">
        <f>H637-G637</f>
        <v>0.28842592592592586</v>
      </c>
      <c r="J637" s="43">
        <v>0.3</v>
      </c>
      <c r="K637" s="2"/>
      <c r="L637" s="3">
        <f>J637-I637</f>
        <v>1.1574074074074125E-2</v>
      </c>
      <c r="M637" s="4">
        <f>F637/I637</f>
        <v>0.1136837881219904</v>
      </c>
      <c r="N637" s="4">
        <f>I637/J637</f>
        <v>0.96141975308641958</v>
      </c>
    </row>
    <row r="638" spans="1:14" x14ac:dyDescent="0.3">
      <c r="A638" s="29">
        <v>46057</v>
      </c>
      <c r="B638" s="8">
        <f>YEAR(A638)</f>
        <v>2026</v>
      </c>
      <c r="C638" s="27" t="str">
        <f>TEXT(A638,"MMMM")</f>
        <v>fevereiro</v>
      </c>
      <c r="D638" s="30" t="s">
        <v>26</v>
      </c>
      <c r="E638" s="30" t="s">
        <v>15</v>
      </c>
      <c r="F638" s="31">
        <v>3.4953703703703702E-2</v>
      </c>
      <c r="G638" s="31">
        <v>0.33336805555555554</v>
      </c>
      <c r="H638" s="31">
        <v>0.63431712962962961</v>
      </c>
      <c r="I638" s="43">
        <f>H638-G638</f>
        <v>0.30094907407407406</v>
      </c>
      <c r="J638" s="43">
        <v>0.3</v>
      </c>
      <c r="K638" s="2">
        <f>I638-J638</f>
        <v>9.490740740740744E-4</v>
      </c>
      <c r="L638" s="3"/>
      <c r="M638" s="4">
        <f>F638/I638</f>
        <v>0.11614491192985155</v>
      </c>
      <c r="N638" s="4">
        <f>I638/J638</f>
        <v>1.0031635802469137</v>
      </c>
    </row>
    <row r="639" spans="1:14" x14ac:dyDescent="0.3">
      <c r="A639" s="29">
        <v>46057</v>
      </c>
      <c r="B639" s="8">
        <f>YEAR(A639)</f>
        <v>2026</v>
      </c>
      <c r="C639" s="27" t="str">
        <f>TEXT(A639,"MMMM")</f>
        <v>fevereiro</v>
      </c>
      <c r="D639" s="30" t="s">
        <v>27</v>
      </c>
      <c r="E639" s="30" t="s">
        <v>34</v>
      </c>
      <c r="F639" s="31">
        <v>3.4467592592592591E-2</v>
      </c>
      <c r="G639" s="31">
        <v>0.33377314814814812</v>
      </c>
      <c r="H639" s="31">
        <v>0.63405092592592593</v>
      </c>
      <c r="I639" s="43">
        <f>H639-G639</f>
        <v>0.30027777777777781</v>
      </c>
      <c r="J639" s="43">
        <v>0.3</v>
      </c>
      <c r="K639" s="2">
        <f>I639-J639</f>
        <v>2.777777777778212E-4</v>
      </c>
      <c r="L639" s="3"/>
      <c r="M639" s="4">
        <f>F639/I639</f>
        <v>0.11478569226025284</v>
      </c>
      <c r="N639" s="4">
        <f>I639/J639</f>
        <v>1.000925925925926</v>
      </c>
    </row>
    <row r="640" spans="1:14" x14ac:dyDescent="0.3">
      <c r="A640" s="29">
        <v>46057</v>
      </c>
      <c r="B640" s="8">
        <f>YEAR(A640)</f>
        <v>2026</v>
      </c>
      <c r="C640" s="27" t="str">
        <f>TEXT(A640,"MMMM")</f>
        <v>fevereiro</v>
      </c>
      <c r="D640" s="30" t="s">
        <v>68</v>
      </c>
      <c r="E640" s="30" t="s">
        <v>34</v>
      </c>
      <c r="F640" s="31">
        <v>5.0601851851851849E-2</v>
      </c>
      <c r="G640" s="31">
        <v>0.44984953703703706</v>
      </c>
      <c r="H640" s="31">
        <v>0.7503009259259259</v>
      </c>
      <c r="I640" s="43">
        <f>H640-G640</f>
        <v>0.30045138888888884</v>
      </c>
      <c r="J640" s="43">
        <v>0.3</v>
      </c>
      <c r="K640" s="2">
        <f>I640-J640</f>
        <v>4.5138888888884843E-4</v>
      </c>
      <c r="L640" s="3"/>
      <c r="M640" s="4">
        <f>F640/I640</f>
        <v>0.16841943064062562</v>
      </c>
      <c r="N640" s="4">
        <f>I640/J640</f>
        <v>1.0015046296296295</v>
      </c>
    </row>
    <row r="641" spans="1:14" x14ac:dyDescent="0.3">
      <c r="A641" s="29">
        <v>46057</v>
      </c>
      <c r="B641" s="8">
        <f>YEAR(A641)</f>
        <v>2026</v>
      </c>
      <c r="C641" s="27" t="str">
        <f>TEXT(A641,"MMMM")</f>
        <v>fevereiro</v>
      </c>
      <c r="D641" s="30" t="s">
        <v>32</v>
      </c>
      <c r="E641" s="30" t="s">
        <v>34</v>
      </c>
      <c r="F641" s="31">
        <v>4.5115740740740741E-2</v>
      </c>
      <c r="G641" s="31">
        <v>0.44369212962962962</v>
      </c>
      <c r="H641" s="31">
        <v>0.750462962962963</v>
      </c>
      <c r="I641" s="43">
        <f>H641-G641</f>
        <v>0.30677083333333338</v>
      </c>
      <c r="J641" s="43">
        <v>0.3</v>
      </c>
      <c r="K641" s="2">
        <f>I641-J641</f>
        <v>6.7708333333333925E-3</v>
      </c>
      <c r="L641" s="3"/>
      <c r="M641" s="4">
        <f>F641/I641</f>
        <v>0.14706659120920579</v>
      </c>
      <c r="N641" s="4">
        <f>I641/J641</f>
        <v>1.0225694444444446</v>
      </c>
    </row>
    <row r="642" spans="1:14" x14ac:dyDescent="0.3">
      <c r="A642" s="29">
        <v>46057</v>
      </c>
      <c r="B642" s="8">
        <f>YEAR(A642)</f>
        <v>2026</v>
      </c>
      <c r="C642" s="27" t="str">
        <f>TEXT(A642,"MMMM")</f>
        <v>fevereiro</v>
      </c>
      <c r="D642" s="30" t="s">
        <v>30</v>
      </c>
      <c r="E642" s="30" t="s">
        <v>34</v>
      </c>
      <c r="F642" s="31">
        <v>5.3148148148148146E-2</v>
      </c>
      <c r="G642" s="31">
        <v>0.33660879629629631</v>
      </c>
      <c r="H642" s="31">
        <v>0.66795138888888894</v>
      </c>
      <c r="I642" s="43">
        <f>H642-G642</f>
        <v>0.33134259259259263</v>
      </c>
      <c r="J642" s="43">
        <v>0.3</v>
      </c>
      <c r="K642" s="2">
        <f>I642-J642</f>
        <v>3.1342592592592644E-2</v>
      </c>
      <c r="L642" s="3"/>
      <c r="M642" s="4">
        <f>F642/I642</f>
        <v>0.16040240324158164</v>
      </c>
      <c r="N642" s="4">
        <f>I642/J642</f>
        <v>1.1044753086419754</v>
      </c>
    </row>
    <row r="643" spans="1:14" x14ac:dyDescent="0.3">
      <c r="A643" s="29">
        <v>46057</v>
      </c>
      <c r="B643" s="8">
        <f>YEAR(A643)</f>
        <v>2026</v>
      </c>
      <c r="C643" s="27" t="str">
        <f>TEXT(A643,"MMMM")</f>
        <v>fevereiro</v>
      </c>
      <c r="D643" s="30" t="s">
        <v>28</v>
      </c>
      <c r="E643" s="30" t="s">
        <v>14</v>
      </c>
      <c r="F643" s="31">
        <v>4.162037037037037E-2</v>
      </c>
      <c r="G643" s="31">
        <v>0.45738425925925924</v>
      </c>
      <c r="H643" s="31">
        <v>0.7528125</v>
      </c>
      <c r="I643" s="43">
        <f>H643-G643</f>
        <v>0.29542824074074076</v>
      </c>
      <c r="J643" s="43">
        <v>0.3</v>
      </c>
      <c r="K643" s="2"/>
      <c r="L643" s="3">
        <f>J643-I643</f>
        <v>4.5717592592592338E-3</v>
      </c>
      <c r="M643" s="4">
        <f>F643/I643</f>
        <v>0.14088148873653281</v>
      </c>
      <c r="N643" s="4">
        <f>I643/J643</f>
        <v>0.98476080246913589</v>
      </c>
    </row>
    <row r="644" spans="1:14" x14ac:dyDescent="0.3">
      <c r="A644" s="29">
        <v>46057</v>
      </c>
      <c r="B644" s="8">
        <f>YEAR(A644)</f>
        <v>2026</v>
      </c>
      <c r="C644" s="27" t="str">
        <f>TEXT(A644,"MMMM")</f>
        <v>fevereiro</v>
      </c>
      <c r="D644" s="30" t="s">
        <v>29</v>
      </c>
      <c r="E644" s="30" t="s">
        <v>14</v>
      </c>
      <c r="F644" s="31">
        <v>5.5092592592592596E-2</v>
      </c>
      <c r="G644" s="31">
        <v>0.33434027777777775</v>
      </c>
      <c r="H644" s="31">
        <v>0.71984953703703702</v>
      </c>
      <c r="I644" s="43">
        <f>H644-G644</f>
        <v>0.38550925925925927</v>
      </c>
      <c r="J644" s="43">
        <v>0.3</v>
      </c>
      <c r="K644" s="2">
        <f>I644-J644</f>
        <v>8.5509259259259285E-2</v>
      </c>
      <c r="L644" s="3"/>
      <c r="M644" s="4">
        <f>F644/I644</f>
        <v>0.14290861054401346</v>
      </c>
      <c r="N644" s="4">
        <f>I644/J644</f>
        <v>1.285030864197531</v>
      </c>
    </row>
    <row r="645" spans="1:14" x14ac:dyDescent="0.3">
      <c r="A645" s="29">
        <v>46058</v>
      </c>
      <c r="B645" s="8">
        <f>YEAR(A645)</f>
        <v>2026</v>
      </c>
      <c r="C645" s="27" t="str">
        <f>TEXT(A645,"MMMM")</f>
        <v>fevereiro</v>
      </c>
      <c r="D645" s="30" t="s">
        <v>16</v>
      </c>
      <c r="E645" s="30" t="s">
        <v>34</v>
      </c>
      <c r="F645" s="31">
        <v>4.1631944444444444E-2</v>
      </c>
      <c r="G645" s="31">
        <v>0.33372685185185186</v>
      </c>
      <c r="H645" s="31">
        <v>0.63761574074074079</v>
      </c>
      <c r="I645" s="43">
        <f>H645-G645</f>
        <v>0.30388888888888893</v>
      </c>
      <c r="J645" s="43">
        <v>0.3</v>
      </c>
      <c r="K645" s="2">
        <f>I645-J645</f>
        <v>3.8888888888889417E-3</v>
      </c>
      <c r="L645" s="3"/>
      <c r="M645" s="4">
        <f>F645/I645</f>
        <v>0.13699725776965263</v>
      </c>
      <c r="N645" s="4">
        <f>I645/J645</f>
        <v>1.0129629629629631</v>
      </c>
    </row>
    <row r="646" spans="1:14" x14ac:dyDescent="0.3">
      <c r="A646" s="29">
        <v>46058</v>
      </c>
      <c r="B646" s="8">
        <f>YEAR(A646)</f>
        <v>2026</v>
      </c>
      <c r="C646" s="27" t="str">
        <f>TEXT(A646,"MMMM")</f>
        <v>fevereiro</v>
      </c>
      <c r="D646" s="30" t="s">
        <v>47</v>
      </c>
      <c r="E646" s="30" t="s">
        <v>21</v>
      </c>
      <c r="F646" s="31">
        <v>5.1979166666666667E-2</v>
      </c>
      <c r="G646" s="31">
        <v>0.54622685185185182</v>
      </c>
      <c r="H646" s="31">
        <v>0.7503009259259259</v>
      </c>
      <c r="I646" s="43">
        <f>H646-G646</f>
        <v>0.20407407407407407</v>
      </c>
      <c r="J646" s="43">
        <v>0.25</v>
      </c>
      <c r="K646" s="2"/>
      <c r="L646" s="3">
        <f>J646-I646</f>
        <v>4.5925925925925926E-2</v>
      </c>
      <c r="M646" s="4">
        <f>F646/I646</f>
        <v>0.25470735027223229</v>
      </c>
      <c r="N646" s="4">
        <f>I646/J646</f>
        <v>0.8162962962962963</v>
      </c>
    </row>
    <row r="647" spans="1:14" x14ac:dyDescent="0.3">
      <c r="A647" s="29">
        <v>46058</v>
      </c>
      <c r="B647" s="8">
        <f>YEAR(A647)</f>
        <v>2026</v>
      </c>
      <c r="C647" s="27" t="str">
        <f>TEXT(A647,"MMMM")</f>
        <v>fevereiro</v>
      </c>
      <c r="D647" s="30" t="s">
        <v>18</v>
      </c>
      <c r="E647" s="30" t="s">
        <v>14</v>
      </c>
      <c r="F647" s="31">
        <v>3.4016203703703701E-2</v>
      </c>
      <c r="G647" s="31">
        <v>0.42005787037037035</v>
      </c>
      <c r="H647" s="31">
        <v>0.79736111111111108</v>
      </c>
      <c r="I647" s="43">
        <f>H647-G647</f>
        <v>0.37730324074074073</v>
      </c>
      <c r="J647" s="43">
        <v>0.25833333333333336</v>
      </c>
      <c r="K647" s="2">
        <f>I647-J647</f>
        <v>0.11896990740740737</v>
      </c>
      <c r="L647" s="3"/>
      <c r="M647" s="4">
        <f>F647/I647</f>
        <v>9.015613975888831E-2</v>
      </c>
      <c r="N647" s="4">
        <f>I647/J647</f>
        <v>1.4605286738351253</v>
      </c>
    </row>
    <row r="648" spans="1:14" x14ac:dyDescent="0.3">
      <c r="A648" s="29">
        <v>46058</v>
      </c>
      <c r="B648" s="8">
        <f>YEAR(A648)</f>
        <v>2026</v>
      </c>
      <c r="C648" s="27" t="str">
        <f>TEXT(A648,"MMMM")</f>
        <v>fevereiro</v>
      </c>
      <c r="D648" s="30" t="s">
        <v>69</v>
      </c>
      <c r="E648" s="30" t="s">
        <v>34</v>
      </c>
      <c r="F648" s="31">
        <v>4.3206018518518519E-2</v>
      </c>
      <c r="G648" s="31">
        <v>0.34864583333333332</v>
      </c>
      <c r="H648" s="31">
        <v>0.63386574074074076</v>
      </c>
      <c r="I648" s="43">
        <f>H648-G648</f>
        <v>0.28521990740740744</v>
      </c>
      <c r="J648" s="43">
        <v>0.3</v>
      </c>
      <c r="K648" s="2"/>
      <c r="L648" s="3">
        <f>J648-I648</f>
        <v>1.4780092592592553E-2</v>
      </c>
      <c r="M648" s="4">
        <f>F648/I648</f>
        <v>0.15148317980765327</v>
      </c>
      <c r="N648" s="4">
        <f>I648/J648</f>
        <v>0.95073302469135812</v>
      </c>
    </row>
    <row r="649" spans="1:14" x14ac:dyDescent="0.3">
      <c r="A649" s="29">
        <v>46058</v>
      </c>
      <c r="B649" s="8">
        <f>YEAR(A649)</f>
        <v>2026</v>
      </c>
      <c r="C649" s="27" t="str">
        <f>TEXT(A649,"MMMM")</f>
        <v>fevereiro</v>
      </c>
      <c r="D649" s="30" t="s">
        <v>22</v>
      </c>
      <c r="E649" s="30" t="s">
        <v>21</v>
      </c>
      <c r="F649" s="31">
        <v>3.7812499999999999E-2</v>
      </c>
      <c r="G649" s="31">
        <v>0.44467592592592592</v>
      </c>
      <c r="H649" s="31">
        <v>0.75142361111111111</v>
      </c>
      <c r="I649" s="43">
        <f>H649-G649</f>
        <v>0.30674768518518519</v>
      </c>
      <c r="J649" s="43">
        <v>0.3</v>
      </c>
      <c r="K649" s="2">
        <f>I649-J649</f>
        <v>6.7476851851852038E-3</v>
      </c>
      <c r="L649" s="3"/>
      <c r="M649" s="4">
        <f>F649/I649</f>
        <v>0.1232690638795608</v>
      </c>
      <c r="N649" s="4">
        <f>I649/J649</f>
        <v>1.0224922839506174</v>
      </c>
    </row>
    <row r="650" spans="1:14" x14ac:dyDescent="0.3">
      <c r="A650" s="29">
        <v>46058</v>
      </c>
      <c r="B650" s="8">
        <f>YEAR(A650)</f>
        <v>2026</v>
      </c>
      <c r="C650" s="27" t="str">
        <f>TEXT(A650,"MMMM")</f>
        <v>fevereiro</v>
      </c>
      <c r="D650" s="30" t="s">
        <v>33</v>
      </c>
      <c r="E650" s="30" t="s">
        <v>34</v>
      </c>
      <c r="F650" s="31">
        <v>4.4016203703703703E-2</v>
      </c>
      <c r="G650" s="31">
        <v>0.33374999999999999</v>
      </c>
      <c r="H650" s="31">
        <v>0.66700231481481487</v>
      </c>
      <c r="I650" s="43">
        <f>H650-G650</f>
        <v>0.33325231481481488</v>
      </c>
      <c r="J650" s="43">
        <v>0.3</v>
      </c>
      <c r="K650" s="2">
        <f>I650-J650</f>
        <v>3.3252314814814887E-2</v>
      </c>
      <c r="L650" s="3"/>
      <c r="M650" s="4">
        <f>F650/I650</f>
        <v>0.1320807140624457</v>
      </c>
      <c r="N650" s="4">
        <f>I650/J650</f>
        <v>1.1108410493827163</v>
      </c>
    </row>
    <row r="651" spans="1:14" x14ac:dyDescent="0.3">
      <c r="A651" s="29">
        <v>46058</v>
      </c>
      <c r="B651" s="8">
        <f>YEAR(A651)</f>
        <v>2026</v>
      </c>
      <c r="C651" s="27" t="str">
        <f>TEXT(A651,"MMMM")</f>
        <v>fevereiro</v>
      </c>
      <c r="D651" s="30" t="s">
        <v>24</v>
      </c>
      <c r="E651" s="30" t="s">
        <v>14</v>
      </c>
      <c r="F651" s="31">
        <v>3.0289351851851852E-2</v>
      </c>
      <c r="G651" s="31">
        <v>0.43870370370370371</v>
      </c>
      <c r="H651" s="31">
        <v>0.7517476851851852</v>
      </c>
      <c r="I651" s="43">
        <f>H651-G651</f>
        <v>0.31304398148148149</v>
      </c>
      <c r="J651" s="43">
        <v>0.3</v>
      </c>
      <c r="K651" s="2">
        <f>I651-J651</f>
        <v>1.3043981481481504E-2</v>
      </c>
      <c r="L651" s="3"/>
      <c r="M651" s="4">
        <f>F651/I651</f>
        <v>9.6757496210300581E-2</v>
      </c>
      <c r="N651" s="4">
        <f>I651/J651</f>
        <v>1.0434799382716051</v>
      </c>
    </row>
    <row r="652" spans="1:14" x14ac:dyDescent="0.3">
      <c r="A652" s="29">
        <v>46058</v>
      </c>
      <c r="B652" s="8">
        <f>YEAR(A652)</f>
        <v>2026</v>
      </c>
      <c r="C652" s="27" t="str">
        <f>TEXT(A652,"MMMM")</f>
        <v>fevereiro</v>
      </c>
      <c r="D652" s="30" t="s">
        <v>26</v>
      </c>
      <c r="E652" s="30" t="s">
        <v>15</v>
      </c>
      <c r="F652" s="31">
        <v>3.7986111111111109E-2</v>
      </c>
      <c r="G652" s="31">
        <v>0.33502314814814815</v>
      </c>
      <c r="H652" s="31">
        <v>0.67692129629629627</v>
      </c>
      <c r="I652" s="43">
        <f>H652-G652</f>
        <v>0.34189814814814812</v>
      </c>
      <c r="J652" s="43">
        <v>0.3</v>
      </c>
      <c r="K652" s="2">
        <f>I652-J652</f>
        <v>4.1898148148148129E-2</v>
      </c>
      <c r="L652" s="3"/>
      <c r="M652" s="4">
        <f>F652/I652</f>
        <v>0.1111035883547732</v>
      </c>
      <c r="N652" s="4">
        <f>I652/J652</f>
        <v>1.1396604938271604</v>
      </c>
    </row>
    <row r="653" spans="1:14" x14ac:dyDescent="0.3">
      <c r="A653" s="29">
        <v>46058</v>
      </c>
      <c r="B653" s="8">
        <f>YEAR(A653)</f>
        <v>2026</v>
      </c>
      <c r="C653" s="27" t="str">
        <f>TEXT(A653,"MMMM")</f>
        <v>fevereiro</v>
      </c>
      <c r="D653" s="30" t="s">
        <v>27</v>
      </c>
      <c r="E653" s="30" t="s">
        <v>34</v>
      </c>
      <c r="F653" s="31">
        <v>3.7800925925925925E-2</v>
      </c>
      <c r="G653" s="31">
        <v>0.33379629629629631</v>
      </c>
      <c r="H653" s="31">
        <v>0.69232638888888887</v>
      </c>
      <c r="I653" s="43">
        <f>H653-G653</f>
        <v>0.35853009259259255</v>
      </c>
      <c r="J653" s="43">
        <v>0.3</v>
      </c>
      <c r="K653" s="2">
        <f>I653-J653</f>
        <v>5.8530092592592564E-2</v>
      </c>
      <c r="L653" s="3"/>
      <c r="M653" s="4">
        <f>F653/I653</f>
        <v>0.10543306324046875</v>
      </c>
      <c r="N653" s="4">
        <f>I653/J653</f>
        <v>1.1951003086419751</v>
      </c>
    </row>
    <row r="654" spans="1:14" x14ac:dyDescent="0.3">
      <c r="A654" s="29">
        <v>46058</v>
      </c>
      <c r="B654" s="8">
        <f>YEAR(A654)</f>
        <v>2026</v>
      </c>
      <c r="C654" s="27" t="str">
        <f>TEXT(A654,"MMMM")</f>
        <v>fevereiro</v>
      </c>
      <c r="D654" s="30" t="s">
        <v>68</v>
      </c>
      <c r="E654" s="30" t="s">
        <v>34</v>
      </c>
      <c r="F654" s="31">
        <v>4.5578703703703705E-2</v>
      </c>
      <c r="G654" s="31">
        <v>0.43593749999999998</v>
      </c>
      <c r="H654" s="31">
        <v>0.75037037037037035</v>
      </c>
      <c r="I654" s="43">
        <f>H654-G654</f>
        <v>0.31443287037037038</v>
      </c>
      <c r="J654" s="43">
        <v>0.3</v>
      </c>
      <c r="K654" s="2">
        <f>I654-J654</f>
        <v>1.4432870370370388E-2</v>
      </c>
      <c r="L654" s="3"/>
      <c r="M654" s="4">
        <f>F654/I654</f>
        <v>0.14495527662237273</v>
      </c>
      <c r="N654" s="4">
        <f>I654/J654</f>
        <v>1.0481095679012347</v>
      </c>
    </row>
    <row r="655" spans="1:14" x14ac:dyDescent="0.3">
      <c r="A655" s="29">
        <v>46058</v>
      </c>
      <c r="B655" s="8">
        <f>YEAR(A655)</f>
        <v>2026</v>
      </c>
      <c r="C655" s="27" t="str">
        <f>TEXT(A655,"MMMM")</f>
        <v>fevereiro</v>
      </c>
      <c r="D655" s="30" t="s">
        <v>32</v>
      </c>
      <c r="E655" s="30" t="s">
        <v>34</v>
      </c>
      <c r="F655" s="31">
        <v>4.9490740740740738E-2</v>
      </c>
      <c r="G655" s="31">
        <v>0.45979166666666665</v>
      </c>
      <c r="H655" s="31">
        <v>0.75155092592592587</v>
      </c>
      <c r="I655" s="43">
        <f>H655-G655</f>
        <v>0.29175925925925922</v>
      </c>
      <c r="J655" s="43">
        <v>0.3</v>
      </c>
      <c r="K655" s="2"/>
      <c r="L655" s="3">
        <f>J655-I655</f>
        <v>8.2407407407407707E-3</v>
      </c>
      <c r="M655" s="4">
        <f>F655/I655</f>
        <v>0.16962868930498257</v>
      </c>
      <c r="N655" s="4">
        <f>I655/J655</f>
        <v>0.97253086419753076</v>
      </c>
    </row>
    <row r="656" spans="1:14" x14ac:dyDescent="0.3">
      <c r="A656" s="29">
        <v>46058</v>
      </c>
      <c r="B656" s="8">
        <f>YEAR(A656)</f>
        <v>2026</v>
      </c>
      <c r="C656" s="27" t="str">
        <f>TEXT(A656,"MMMM")</f>
        <v>fevereiro</v>
      </c>
      <c r="D656" s="30" t="s">
        <v>30</v>
      </c>
      <c r="E656" s="30" t="s">
        <v>34</v>
      </c>
      <c r="F656" s="31">
        <v>5.4328703703703705E-2</v>
      </c>
      <c r="G656" s="31">
        <v>0.33864583333333331</v>
      </c>
      <c r="H656" s="31">
        <v>0.6564699074074074</v>
      </c>
      <c r="I656" s="43">
        <f>H656-G656</f>
        <v>0.31782407407407409</v>
      </c>
      <c r="J656" s="43">
        <v>0.3</v>
      </c>
      <c r="K656" s="2">
        <f>I656-J656</f>
        <v>1.7824074074074103E-2</v>
      </c>
      <c r="L656" s="3"/>
      <c r="M656" s="4">
        <f>F656/I656</f>
        <v>0.17093954843408593</v>
      </c>
      <c r="N656" s="4">
        <f>I656/J656</f>
        <v>1.0594135802469138</v>
      </c>
    </row>
    <row r="657" spans="1:14" x14ac:dyDescent="0.3">
      <c r="A657" s="29">
        <v>46058</v>
      </c>
      <c r="B657" s="8">
        <f>YEAR(A657)</f>
        <v>2026</v>
      </c>
      <c r="C657" s="27" t="str">
        <f>TEXT(A657,"MMMM")</f>
        <v>fevereiro</v>
      </c>
      <c r="D657" s="30" t="s">
        <v>28</v>
      </c>
      <c r="E657" s="30" t="s">
        <v>14</v>
      </c>
      <c r="F657" s="31">
        <v>4.9027777777777781E-2</v>
      </c>
      <c r="G657" s="31">
        <v>0.49081018518518521</v>
      </c>
      <c r="H657" s="31">
        <v>0.7528125</v>
      </c>
      <c r="I657" s="43">
        <f>H657-G657</f>
        <v>0.26200231481481479</v>
      </c>
      <c r="J657" s="43">
        <v>0.3</v>
      </c>
      <c r="K657" s="2"/>
      <c r="L657" s="3">
        <f>J657-I657</f>
        <v>3.7997685185185204E-2</v>
      </c>
      <c r="M657" s="4">
        <f>F657/I657</f>
        <v>0.18712726951451167</v>
      </c>
      <c r="N657" s="4">
        <f>I657/J657</f>
        <v>0.87334104938271595</v>
      </c>
    </row>
    <row r="658" spans="1:14" x14ac:dyDescent="0.3">
      <c r="A658" s="29">
        <v>46058</v>
      </c>
      <c r="B658" s="8">
        <f>YEAR(A658)</f>
        <v>2026</v>
      </c>
      <c r="C658" s="27" t="str">
        <f>TEXT(A658,"MMMM")</f>
        <v>fevereiro</v>
      </c>
      <c r="D658" s="30" t="s">
        <v>29</v>
      </c>
      <c r="E658" s="30" t="s">
        <v>14</v>
      </c>
      <c r="F658" s="31">
        <v>3.1944444444444442E-2</v>
      </c>
      <c r="G658" s="31">
        <v>0.34706018518518517</v>
      </c>
      <c r="H658" s="31">
        <v>0.64104166666666662</v>
      </c>
      <c r="I658" s="43">
        <f>H658-G658</f>
        <v>0.29398148148148145</v>
      </c>
      <c r="J658" s="43">
        <v>0.3</v>
      </c>
      <c r="K658" s="2"/>
      <c r="L658" s="3">
        <f>J658-I658</f>
        <v>6.0185185185185341E-3</v>
      </c>
      <c r="M658" s="4">
        <f>F658/I658</f>
        <v>0.10866141732283464</v>
      </c>
      <c r="N658" s="4">
        <f>I658/J658</f>
        <v>0.97993827160493818</v>
      </c>
    </row>
    <row r="659" spans="1:14" x14ac:dyDescent="0.3">
      <c r="A659" s="29">
        <v>46059</v>
      </c>
      <c r="B659" s="8">
        <f>YEAR(A659)</f>
        <v>2026</v>
      </c>
      <c r="C659" s="27" t="str">
        <f>TEXT(A659,"MMMM")</f>
        <v>fevereiro</v>
      </c>
      <c r="D659" s="30" t="s">
        <v>16</v>
      </c>
      <c r="E659" s="30" t="s">
        <v>34</v>
      </c>
      <c r="F659" s="31">
        <v>4.2604166666666665E-2</v>
      </c>
      <c r="G659" s="31">
        <v>0.39261574074074074</v>
      </c>
      <c r="H659" s="31">
        <v>0.71005787037037038</v>
      </c>
      <c r="I659" s="43">
        <f>H659-G659</f>
        <v>0.31744212962962964</v>
      </c>
      <c r="J659" s="43">
        <v>0.3</v>
      </c>
      <c r="K659" s="2">
        <f>I659-J659</f>
        <v>1.7442129629629655E-2</v>
      </c>
      <c r="L659" s="3"/>
      <c r="M659" s="4">
        <f>F659/I659</f>
        <v>0.13421081416122799</v>
      </c>
      <c r="N659" s="4">
        <f>I659/J659</f>
        <v>1.0581404320987655</v>
      </c>
    </row>
    <row r="660" spans="1:14" x14ac:dyDescent="0.3">
      <c r="A660" s="29">
        <v>46059</v>
      </c>
      <c r="B660" s="8">
        <f>YEAR(A660)</f>
        <v>2026</v>
      </c>
      <c r="C660" s="27" t="str">
        <f>TEXT(A660,"MMMM")</f>
        <v>fevereiro</v>
      </c>
      <c r="D660" s="30" t="s">
        <v>18</v>
      </c>
      <c r="E660" s="30" t="s">
        <v>14</v>
      </c>
      <c r="F660" s="31">
        <v>3.7152777777777778E-2</v>
      </c>
      <c r="G660" s="31">
        <v>0.38815972222222223</v>
      </c>
      <c r="H660" s="31">
        <v>0.79035879629629635</v>
      </c>
      <c r="I660" s="43">
        <f>H660-G660</f>
        <v>0.40219907407407413</v>
      </c>
      <c r="J660" s="43">
        <v>0.25</v>
      </c>
      <c r="K660" s="2">
        <f>I660-J660</f>
        <v>0.15219907407407413</v>
      </c>
      <c r="L660" s="3"/>
      <c r="M660" s="4">
        <f>F660/I660</f>
        <v>9.2374100719424451E-2</v>
      </c>
      <c r="N660" s="4">
        <f>I660/J660</f>
        <v>1.6087962962962965</v>
      </c>
    </row>
    <row r="661" spans="1:14" x14ac:dyDescent="0.3">
      <c r="A661" s="29">
        <v>46059</v>
      </c>
      <c r="B661" s="8">
        <f>YEAR(A661)</f>
        <v>2026</v>
      </c>
      <c r="C661" s="27" t="str">
        <f>TEXT(A661,"MMMM")</f>
        <v>fevereiro</v>
      </c>
      <c r="D661" s="30" t="s">
        <v>69</v>
      </c>
      <c r="E661" s="30" t="s">
        <v>34</v>
      </c>
      <c r="F661" s="31">
        <v>4.6481481481481485E-2</v>
      </c>
      <c r="G661" s="31">
        <v>0.33780092592592592</v>
      </c>
      <c r="H661" s="31">
        <v>0.63396990740740744</v>
      </c>
      <c r="I661" s="43">
        <f>H661-G661</f>
        <v>0.29616898148148152</v>
      </c>
      <c r="J661" s="43">
        <v>0.3</v>
      </c>
      <c r="K661" s="2"/>
      <c r="L661" s="3">
        <f>J661-I661</f>
        <v>3.8310185185184698E-3</v>
      </c>
      <c r="M661" s="4">
        <f>F661/I661</f>
        <v>0.15694243620305598</v>
      </c>
      <c r="N661" s="4">
        <f>I661/J661</f>
        <v>0.9872299382716051</v>
      </c>
    </row>
    <row r="662" spans="1:14" x14ac:dyDescent="0.3">
      <c r="A662" s="29">
        <v>46059</v>
      </c>
      <c r="B662" s="8">
        <f>YEAR(A662)</f>
        <v>2026</v>
      </c>
      <c r="C662" s="27" t="str">
        <f>TEXT(A662,"MMMM")</f>
        <v>fevereiro</v>
      </c>
      <c r="D662" s="30" t="s">
        <v>22</v>
      </c>
      <c r="E662" s="30" t="s">
        <v>21</v>
      </c>
      <c r="F662" s="31">
        <v>3.5752314814814813E-2</v>
      </c>
      <c r="G662" s="31">
        <v>0.43155092592592592</v>
      </c>
      <c r="H662" s="31">
        <v>0.75089120370370366</v>
      </c>
      <c r="I662" s="43">
        <f>H662-G662</f>
        <v>0.31934027777777774</v>
      </c>
      <c r="J662" s="43">
        <v>0.3</v>
      </c>
      <c r="K662" s="2">
        <f>I662-J662</f>
        <v>1.9340277777777748E-2</v>
      </c>
      <c r="L662" s="3"/>
      <c r="M662" s="4">
        <f>F662/I662</f>
        <v>0.11195679750643327</v>
      </c>
      <c r="N662" s="4">
        <f>I662/J662</f>
        <v>1.0644675925925926</v>
      </c>
    </row>
    <row r="663" spans="1:14" x14ac:dyDescent="0.3">
      <c r="A663" s="29">
        <v>46059</v>
      </c>
      <c r="B663" s="8">
        <f>YEAR(A663)</f>
        <v>2026</v>
      </c>
      <c r="C663" s="27" t="str">
        <f>TEXT(A663,"MMMM")</f>
        <v>fevereiro</v>
      </c>
      <c r="D663" s="30" t="s">
        <v>33</v>
      </c>
      <c r="E663" s="30" t="s">
        <v>34</v>
      </c>
      <c r="F663" s="31">
        <v>4.1238425925925928E-2</v>
      </c>
      <c r="G663" s="31">
        <v>0.33379629629629631</v>
      </c>
      <c r="H663" s="31">
        <v>0.63377314814814811</v>
      </c>
      <c r="I663" s="43">
        <f>H663-G663</f>
        <v>0.2999768518518518</v>
      </c>
      <c r="J663" s="43">
        <v>0.3</v>
      </c>
      <c r="K663" s="2"/>
      <c r="L663" s="3">
        <f>J663-I663</f>
        <v>2.3148148148188774E-5</v>
      </c>
      <c r="M663" s="4">
        <f>F663/I663</f>
        <v>0.13747202716258974</v>
      </c>
      <c r="N663" s="4">
        <f>I663/J663</f>
        <v>0.99992283950617267</v>
      </c>
    </row>
    <row r="664" spans="1:14" x14ac:dyDescent="0.3">
      <c r="A664" s="29">
        <v>46059</v>
      </c>
      <c r="B664" s="8">
        <f>YEAR(A664)</f>
        <v>2026</v>
      </c>
      <c r="C664" s="27" t="str">
        <f>TEXT(A664,"MMMM")</f>
        <v>fevereiro</v>
      </c>
      <c r="D664" s="30" t="s">
        <v>24</v>
      </c>
      <c r="E664" s="30" t="s">
        <v>14</v>
      </c>
      <c r="F664" s="31">
        <v>3.3576388888888892E-2</v>
      </c>
      <c r="G664" s="31">
        <v>0.42092592592592593</v>
      </c>
      <c r="H664" s="31">
        <v>0.70869212962962957</v>
      </c>
      <c r="I664" s="43">
        <f>H664-G664</f>
        <v>0.28776620370370365</v>
      </c>
      <c r="J664" s="43">
        <v>0.3</v>
      </c>
      <c r="K664" s="2"/>
      <c r="L664" s="3">
        <f>J664-I664</f>
        <v>1.223379629629634E-2</v>
      </c>
      <c r="M664" s="4">
        <f>F664/I664</f>
        <v>0.11667940312914776</v>
      </c>
      <c r="N664" s="4">
        <f>I664/J664</f>
        <v>0.95922067901234553</v>
      </c>
    </row>
    <row r="665" spans="1:14" x14ac:dyDescent="0.3">
      <c r="A665" s="29">
        <v>46059</v>
      </c>
      <c r="B665" s="8">
        <f>YEAR(A665)</f>
        <v>2026</v>
      </c>
      <c r="C665" s="27" t="str">
        <f>TEXT(A665,"MMMM")</f>
        <v>fevereiro</v>
      </c>
      <c r="D665" s="30" t="s">
        <v>26</v>
      </c>
      <c r="E665" s="30" t="s">
        <v>15</v>
      </c>
      <c r="F665" s="31">
        <v>4.5949074074074073E-2</v>
      </c>
      <c r="G665" s="31">
        <v>0.33473379629629629</v>
      </c>
      <c r="H665" s="31">
        <v>0.635625</v>
      </c>
      <c r="I665" s="43">
        <f>H665-G665</f>
        <v>0.3008912037037037</v>
      </c>
      <c r="J665" s="43">
        <v>0.3</v>
      </c>
      <c r="K665" s="2">
        <f>I665-J665</f>
        <v>8.9120370370371349E-4</v>
      </c>
      <c r="L665" s="3"/>
      <c r="M665" s="4">
        <f>F665/I665</f>
        <v>0.1527099280686233</v>
      </c>
      <c r="N665" s="4">
        <f>I665/J665</f>
        <v>1.0029706790123458</v>
      </c>
    </row>
    <row r="666" spans="1:14" x14ac:dyDescent="0.3">
      <c r="A666" s="29">
        <v>46059</v>
      </c>
      <c r="B666" s="8">
        <f>YEAR(A666)</f>
        <v>2026</v>
      </c>
      <c r="C666" s="27" t="str">
        <f>TEXT(A666,"MMMM")</f>
        <v>fevereiro</v>
      </c>
      <c r="D666" s="30" t="s">
        <v>27</v>
      </c>
      <c r="E666" s="30" t="s">
        <v>34</v>
      </c>
      <c r="F666" s="31">
        <v>3.6805555555555557E-2</v>
      </c>
      <c r="G666" s="31">
        <v>0.33392361111111113</v>
      </c>
      <c r="H666" s="31">
        <v>0.63377314814814811</v>
      </c>
      <c r="I666" s="43">
        <f>H666-G666</f>
        <v>0.29984953703703698</v>
      </c>
      <c r="J666" s="43">
        <v>0.3</v>
      </c>
      <c r="K666" s="2"/>
      <c r="L666" s="3">
        <f>J666-I666</f>
        <v>1.5046296296300499E-4</v>
      </c>
      <c r="M666" s="4">
        <f>F666/I666</f>
        <v>0.1227467479831706</v>
      </c>
      <c r="N666" s="4">
        <f>I666/J666</f>
        <v>0.99949845679012328</v>
      </c>
    </row>
    <row r="667" spans="1:14" x14ac:dyDescent="0.3">
      <c r="A667" s="29">
        <v>46059</v>
      </c>
      <c r="B667" s="8">
        <f>YEAR(A667)</f>
        <v>2026</v>
      </c>
      <c r="C667" s="27" t="str">
        <f>TEXT(A667,"MMMM")</f>
        <v>fevereiro</v>
      </c>
      <c r="D667" s="30" t="s">
        <v>68</v>
      </c>
      <c r="E667" s="30" t="s">
        <v>34</v>
      </c>
      <c r="F667" s="31">
        <v>4.2337962962962966E-2</v>
      </c>
      <c r="G667" s="31">
        <v>0.42604166666666665</v>
      </c>
      <c r="H667" s="31">
        <v>0.75035879629629632</v>
      </c>
      <c r="I667" s="43">
        <f>H667-G667</f>
        <v>0.32431712962962966</v>
      </c>
      <c r="J667" s="43">
        <v>0.3</v>
      </c>
      <c r="K667" s="2">
        <f>I667-J667</f>
        <v>2.4317129629629675E-2</v>
      </c>
      <c r="L667" s="3"/>
      <c r="M667" s="4">
        <f>F667/I667</f>
        <v>0.1305449484315335</v>
      </c>
      <c r="N667" s="4">
        <f>I667/J667</f>
        <v>1.0810570987654322</v>
      </c>
    </row>
    <row r="668" spans="1:14" x14ac:dyDescent="0.3">
      <c r="A668" s="29">
        <v>46059</v>
      </c>
      <c r="B668" s="8">
        <f>YEAR(A668)</f>
        <v>2026</v>
      </c>
      <c r="C668" s="27" t="str">
        <f>TEXT(A668,"MMMM")</f>
        <v>fevereiro</v>
      </c>
      <c r="D668" s="30" t="s">
        <v>32</v>
      </c>
      <c r="E668" s="30" t="s">
        <v>34</v>
      </c>
      <c r="F668" s="31">
        <v>4.670138888888889E-2</v>
      </c>
      <c r="G668" s="31">
        <v>0.39188657407407407</v>
      </c>
      <c r="H668" s="31">
        <v>0.75032407407407409</v>
      </c>
      <c r="I668" s="43">
        <f>H668-G668</f>
        <v>0.35843750000000002</v>
      </c>
      <c r="J668" s="43">
        <v>0.3</v>
      </c>
      <c r="K668" s="2">
        <f>I668-J668</f>
        <v>5.8437500000000031E-2</v>
      </c>
      <c r="L668" s="3"/>
      <c r="M668" s="4">
        <f>F668/I668</f>
        <v>0.13029158190448512</v>
      </c>
      <c r="N668" s="4">
        <f>I668/J668</f>
        <v>1.1947916666666667</v>
      </c>
    </row>
    <row r="669" spans="1:14" x14ac:dyDescent="0.3">
      <c r="A669" s="29">
        <v>46059</v>
      </c>
      <c r="B669" s="8">
        <f>YEAR(A669)</f>
        <v>2026</v>
      </c>
      <c r="C669" s="27" t="str">
        <f>TEXT(A669,"MMMM")</f>
        <v>fevereiro</v>
      </c>
      <c r="D669" s="30" t="s">
        <v>28</v>
      </c>
      <c r="E669" s="30" t="s">
        <v>14</v>
      </c>
      <c r="F669" s="31">
        <v>5.4004629629629632E-2</v>
      </c>
      <c r="G669" s="31">
        <v>0.43145833333333333</v>
      </c>
      <c r="H669" s="31">
        <v>0.79202546296296295</v>
      </c>
      <c r="I669" s="43">
        <f>H669-G669</f>
        <v>0.36056712962962961</v>
      </c>
      <c r="J669" s="43">
        <v>0.3</v>
      </c>
      <c r="K669" s="2">
        <f>I669-J669</f>
        <v>6.0567129629629624E-2</v>
      </c>
      <c r="L669" s="3"/>
      <c r="M669" s="4">
        <f>F669/I669</f>
        <v>0.14977690752094502</v>
      </c>
      <c r="N669" s="4">
        <f>I669/J669</f>
        <v>1.2018904320987653</v>
      </c>
    </row>
    <row r="670" spans="1:14" x14ac:dyDescent="0.3">
      <c r="A670" s="29">
        <v>46059</v>
      </c>
      <c r="B670" s="8">
        <f>YEAR(A670)</f>
        <v>2026</v>
      </c>
      <c r="C670" s="27" t="str">
        <f>TEXT(A670,"MMMM")</f>
        <v>fevereiro</v>
      </c>
      <c r="D670" s="30" t="s">
        <v>29</v>
      </c>
      <c r="E670" s="30" t="s">
        <v>14</v>
      </c>
      <c r="F670" s="31">
        <v>3.7893518518518521E-2</v>
      </c>
      <c r="G670" s="31">
        <v>0.3372337962962963</v>
      </c>
      <c r="H670" s="31">
        <v>0.6752893518518519</v>
      </c>
      <c r="I670" s="43">
        <f>H670-G670</f>
        <v>0.33805555555555561</v>
      </c>
      <c r="J670" s="43">
        <v>0.3</v>
      </c>
      <c r="K670" s="2">
        <f>I670-J670</f>
        <v>3.805555555555562E-2</v>
      </c>
      <c r="L670" s="3"/>
      <c r="M670" s="4">
        <f>F670/I670</f>
        <v>0.11209257737606135</v>
      </c>
      <c r="N670" s="4">
        <f>I670/J670</f>
        <v>1.126851851851852</v>
      </c>
    </row>
    <row r="671" spans="1:14" x14ac:dyDescent="0.3">
      <c r="A671" s="29">
        <v>46062</v>
      </c>
      <c r="B671" s="8">
        <f>YEAR(A671)</f>
        <v>2026</v>
      </c>
      <c r="C671" s="27" t="str">
        <f>TEXT(A671,"MMMM")</f>
        <v>fevereiro</v>
      </c>
      <c r="D671" s="30" t="s">
        <v>16</v>
      </c>
      <c r="E671" s="30" t="s">
        <v>34</v>
      </c>
      <c r="F671" s="31">
        <v>4.4432870370370373E-2</v>
      </c>
      <c r="G671" s="31">
        <v>0.33383101851851854</v>
      </c>
      <c r="H671" s="31">
        <v>0.71689814814814812</v>
      </c>
      <c r="I671" s="43">
        <f>H671-G671</f>
        <v>0.38306712962962958</v>
      </c>
      <c r="J671" s="43">
        <v>0.3</v>
      </c>
      <c r="K671" s="2">
        <f>I671-J671</f>
        <v>8.3067129629629588E-2</v>
      </c>
      <c r="L671" s="3"/>
      <c r="M671" s="4">
        <f>F671/I671</f>
        <v>0.11599238601685956</v>
      </c>
      <c r="N671" s="4">
        <f>I671/J671</f>
        <v>1.2768904320987653</v>
      </c>
    </row>
    <row r="672" spans="1:14" x14ac:dyDescent="0.3">
      <c r="A672" s="29">
        <v>46062</v>
      </c>
      <c r="B672" s="8">
        <f>YEAR(A672)</f>
        <v>2026</v>
      </c>
      <c r="C672" s="27" t="str">
        <f>TEXT(A672,"MMMM")</f>
        <v>fevereiro</v>
      </c>
      <c r="D672" s="30" t="s">
        <v>47</v>
      </c>
      <c r="E672" s="30" t="s">
        <v>21</v>
      </c>
      <c r="F672" s="31">
        <v>4.2569444444444444E-2</v>
      </c>
      <c r="G672" s="31">
        <v>0.52906249999999999</v>
      </c>
      <c r="H672" s="31">
        <v>0.75035879629629632</v>
      </c>
      <c r="I672" s="43">
        <f>H672-G672</f>
        <v>0.22129629629629632</v>
      </c>
      <c r="J672" s="43">
        <v>0.25</v>
      </c>
      <c r="K672" s="2"/>
      <c r="L672" s="3">
        <f>J672-I672</f>
        <v>2.8703703703703676E-2</v>
      </c>
      <c r="M672" s="4">
        <f>F672/I672</f>
        <v>0.19236401673640166</v>
      </c>
      <c r="N672" s="4">
        <f>I672/J672</f>
        <v>0.8851851851851853</v>
      </c>
    </row>
    <row r="673" spans="1:14" x14ac:dyDescent="0.3">
      <c r="A673" s="29">
        <v>46062</v>
      </c>
      <c r="B673" s="8">
        <f>YEAR(A673)</f>
        <v>2026</v>
      </c>
      <c r="C673" s="27" t="str">
        <f>TEXT(A673,"MMMM")</f>
        <v>fevereiro</v>
      </c>
      <c r="D673" s="30" t="s">
        <v>18</v>
      </c>
      <c r="E673" s="30" t="s">
        <v>14</v>
      </c>
      <c r="F673" s="31">
        <v>3.0844907407407408E-2</v>
      </c>
      <c r="G673" s="31">
        <v>0.55108796296296292</v>
      </c>
      <c r="H673" s="31">
        <v>0.80034722222222221</v>
      </c>
      <c r="I673" s="43">
        <f>H673-G673</f>
        <v>0.24925925925925929</v>
      </c>
      <c r="J673" s="43">
        <v>0.25</v>
      </c>
      <c r="K673" s="2"/>
      <c r="L673" s="3">
        <f>J673-I673</f>
        <v>7.407407407407085E-4</v>
      </c>
      <c r="M673" s="4">
        <f>F673/I673</f>
        <v>0.12374628528974739</v>
      </c>
      <c r="N673" s="4">
        <f>I673/J673</f>
        <v>0.99703703703703717</v>
      </c>
    </row>
    <row r="674" spans="1:14" x14ac:dyDescent="0.3">
      <c r="A674" s="29">
        <v>46062</v>
      </c>
      <c r="B674" s="8">
        <f>YEAR(A674)</f>
        <v>2026</v>
      </c>
      <c r="C674" s="27" t="str">
        <f>TEXT(A674,"MMMM")</f>
        <v>fevereiro</v>
      </c>
      <c r="D674" s="30" t="s">
        <v>69</v>
      </c>
      <c r="E674" s="30" t="s">
        <v>34</v>
      </c>
      <c r="F674" s="31">
        <v>4.809027777777778E-2</v>
      </c>
      <c r="G674" s="31">
        <v>0.35239583333333335</v>
      </c>
      <c r="H674" s="31">
        <v>0.71795138888888888</v>
      </c>
      <c r="I674" s="43">
        <f>H674-G674</f>
        <v>0.36555555555555552</v>
      </c>
      <c r="J674" s="43">
        <v>0.3</v>
      </c>
      <c r="K674" s="2">
        <f>I674-J674</f>
        <v>6.5555555555555534E-2</v>
      </c>
      <c r="L674" s="3"/>
      <c r="M674" s="4">
        <f>F674/I674</f>
        <v>0.13155395136778117</v>
      </c>
      <c r="N674" s="4">
        <f>I674/J674</f>
        <v>1.2185185185185186</v>
      </c>
    </row>
    <row r="675" spans="1:14" x14ac:dyDescent="0.3">
      <c r="A675" s="29">
        <v>46062</v>
      </c>
      <c r="B675" s="8">
        <f>YEAR(A675)</f>
        <v>2026</v>
      </c>
      <c r="C675" s="27" t="str">
        <f>TEXT(A675,"MMMM")</f>
        <v>fevereiro</v>
      </c>
      <c r="D675" s="30" t="s">
        <v>22</v>
      </c>
      <c r="E675" s="30" t="s">
        <v>21</v>
      </c>
      <c r="F675" s="31">
        <v>4.974537037037037E-2</v>
      </c>
      <c r="G675" s="31">
        <v>0.34584490740740742</v>
      </c>
      <c r="H675" s="31">
        <v>0.67328703703703707</v>
      </c>
      <c r="I675" s="43">
        <f>H675-G675</f>
        <v>0.32744212962962965</v>
      </c>
      <c r="J675" s="43">
        <v>0.3</v>
      </c>
      <c r="K675" s="2">
        <f>I675-J675</f>
        <v>2.7442129629629664E-2</v>
      </c>
      <c r="L675" s="3"/>
      <c r="M675" s="4">
        <f>F675/I675</f>
        <v>0.15192110565197411</v>
      </c>
      <c r="N675" s="4">
        <f>I675/J675</f>
        <v>1.091473765432099</v>
      </c>
    </row>
    <row r="676" spans="1:14" x14ac:dyDescent="0.3">
      <c r="A676" s="29">
        <v>46062</v>
      </c>
      <c r="B676" s="8">
        <f>YEAR(A676)</f>
        <v>2026</v>
      </c>
      <c r="C676" s="27" t="str">
        <f>TEXT(A676,"MMMM")</f>
        <v>fevereiro</v>
      </c>
      <c r="D676" s="30" t="s">
        <v>33</v>
      </c>
      <c r="E676" s="30" t="s">
        <v>34</v>
      </c>
      <c r="F676" s="31">
        <v>3.920138888888889E-2</v>
      </c>
      <c r="G676" s="31">
        <v>0.33334490740740741</v>
      </c>
      <c r="H676" s="31">
        <v>0.66703703703703698</v>
      </c>
      <c r="I676" s="43">
        <f>H676-G676</f>
        <v>0.33369212962962957</v>
      </c>
      <c r="J676" s="43">
        <v>0.3</v>
      </c>
      <c r="K676" s="2">
        <f>I676-J676</f>
        <v>3.3692129629629586E-2</v>
      </c>
      <c r="L676" s="3"/>
      <c r="M676" s="4">
        <f>F676/I676</f>
        <v>0.11747771495959212</v>
      </c>
      <c r="N676" s="4">
        <f>I676/J676</f>
        <v>1.112307098765432</v>
      </c>
    </row>
    <row r="677" spans="1:14" x14ac:dyDescent="0.3">
      <c r="A677" s="29">
        <v>46062</v>
      </c>
      <c r="B677" s="8">
        <f>YEAR(A677)</f>
        <v>2026</v>
      </c>
      <c r="C677" s="27" t="str">
        <f>TEXT(A677,"MMMM")</f>
        <v>fevereiro</v>
      </c>
      <c r="D677" s="30" t="s">
        <v>24</v>
      </c>
      <c r="E677" s="30" t="s">
        <v>14</v>
      </c>
      <c r="F677" s="31">
        <v>4.116898148148148E-2</v>
      </c>
      <c r="G677" s="31">
        <v>0.37189814814814814</v>
      </c>
      <c r="H677" s="31">
        <v>0.75082175925925931</v>
      </c>
      <c r="I677" s="43">
        <f>H677-G677</f>
        <v>0.37892361111111117</v>
      </c>
      <c r="J677" s="43">
        <v>0.3</v>
      </c>
      <c r="K677" s="2">
        <f>I677-J677</f>
        <v>7.892361111111118E-2</v>
      </c>
      <c r="L677" s="3"/>
      <c r="M677" s="4">
        <f>F677/I677</f>
        <v>0.10864717920522922</v>
      </c>
      <c r="N677" s="4">
        <f>I677/J677</f>
        <v>1.2630787037037039</v>
      </c>
    </row>
    <row r="678" spans="1:14" x14ac:dyDescent="0.3">
      <c r="A678" s="29">
        <v>46062</v>
      </c>
      <c r="B678" s="8">
        <f>YEAR(A678)</f>
        <v>2026</v>
      </c>
      <c r="C678" s="27" t="str">
        <f>TEXT(A678,"MMMM")</f>
        <v>fevereiro</v>
      </c>
      <c r="D678" s="30" t="s">
        <v>26</v>
      </c>
      <c r="E678" s="30" t="s">
        <v>15</v>
      </c>
      <c r="F678" s="31">
        <v>3.2511574074074075E-2</v>
      </c>
      <c r="G678" s="31">
        <v>0.35090277777777779</v>
      </c>
      <c r="H678" s="31">
        <v>0.69275462962962964</v>
      </c>
      <c r="I678" s="43">
        <f>H678-G678</f>
        <v>0.34185185185185185</v>
      </c>
      <c r="J678" s="43">
        <v>0.3</v>
      </c>
      <c r="K678" s="2">
        <f>I678-J678</f>
        <v>4.1851851851851862E-2</v>
      </c>
      <c r="L678" s="3"/>
      <c r="M678" s="4">
        <f>F678/I678</f>
        <v>9.5104279523293617E-2</v>
      </c>
      <c r="N678" s="4">
        <f>I678/J678</f>
        <v>1.1395061728395062</v>
      </c>
    </row>
    <row r="679" spans="1:14" x14ac:dyDescent="0.3">
      <c r="A679" s="29">
        <v>46062</v>
      </c>
      <c r="B679" s="8">
        <f>YEAR(A679)</f>
        <v>2026</v>
      </c>
      <c r="C679" s="27" t="str">
        <f>TEXT(A679,"MMMM")</f>
        <v>fevereiro</v>
      </c>
      <c r="D679" s="30" t="s">
        <v>27</v>
      </c>
      <c r="E679" s="30" t="s">
        <v>34</v>
      </c>
      <c r="F679" s="31">
        <v>4.1365740740740738E-2</v>
      </c>
      <c r="G679" s="31">
        <v>0.33333333333333331</v>
      </c>
      <c r="H679" s="31">
        <v>0.71682870370370366</v>
      </c>
      <c r="I679" s="43">
        <f>H679-G679</f>
        <v>0.38349537037037035</v>
      </c>
      <c r="J679" s="43">
        <v>0.3</v>
      </c>
      <c r="K679" s="2">
        <f>I679-J679</f>
        <v>8.3495370370370359E-2</v>
      </c>
      <c r="L679" s="3"/>
      <c r="M679" s="4">
        <f>F679/I679</f>
        <v>0.1078650328967224</v>
      </c>
      <c r="N679" s="4">
        <f>I679/J679</f>
        <v>1.2783179012345678</v>
      </c>
    </row>
    <row r="680" spans="1:14" x14ac:dyDescent="0.3">
      <c r="A680" s="29">
        <v>46062</v>
      </c>
      <c r="B680" s="8">
        <f>YEAR(A680)</f>
        <v>2026</v>
      </c>
      <c r="C680" s="27" t="str">
        <f>TEXT(A680,"MMMM")</f>
        <v>fevereiro</v>
      </c>
      <c r="D680" s="30" t="s">
        <v>68</v>
      </c>
      <c r="E680" s="30" t="s">
        <v>34</v>
      </c>
      <c r="F680" s="31">
        <v>4.4965277777777778E-2</v>
      </c>
      <c r="G680" s="31">
        <v>0.46417824074074077</v>
      </c>
      <c r="H680" s="31">
        <v>0.75124999999999997</v>
      </c>
      <c r="I680" s="43">
        <f>H680-G680</f>
        <v>0.28707175925925921</v>
      </c>
      <c r="J680" s="43">
        <v>0.3</v>
      </c>
      <c r="K680" s="2"/>
      <c r="L680" s="3">
        <f>J680-I680</f>
        <v>1.2928240740740782E-2</v>
      </c>
      <c r="M680" s="4">
        <f>F680/I680</f>
        <v>0.15663427811151878</v>
      </c>
      <c r="N680" s="4">
        <f>I680/J680</f>
        <v>0.95690586419753076</v>
      </c>
    </row>
    <row r="681" spans="1:14" x14ac:dyDescent="0.3">
      <c r="A681" s="29">
        <v>46062</v>
      </c>
      <c r="B681" s="8">
        <f>YEAR(A681)</f>
        <v>2026</v>
      </c>
      <c r="C681" s="27" t="str">
        <f>TEXT(A681,"MMMM")</f>
        <v>fevereiro</v>
      </c>
      <c r="D681" s="30" t="s">
        <v>32</v>
      </c>
      <c r="E681" s="30" t="s">
        <v>34</v>
      </c>
      <c r="F681" s="31">
        <v>4.8171296296296295E-2</v>
      </c>
      <c r="G681" s="31">
        <v>0.40416666666666667</v>
      </c>
      <c r="H681" s="31">
        <v>0.75067129629629625</v>
      </c>
      <c r="I681" s="43">
        <f>H681-G681</f>
        <v>0.34650462962962958</v>
      </c>
      <c r="J681" s="43">
        <v>0.3</v>
      </c>
      <c r="K681" s="2">
        <f>I681-J681</f>
        <v>4.650462962962959E-2</v>
      </c>
      <c r="L681" s="3"/>
      <c r="M681" s="4">
        <f>F681/I681</f>
        <v>0.13902064266150047</v>
      </c>
      <c r="N681" s="4">
        <f>I681/J681</f>
        <v>1.1550154320987653</v>
      </c>
    </row>
    <row r="682" spans="1:14" x14ac:dyDescent="0.3">
      <c r="A682" s="29">
        <v>46062</v>
      </c>
      <c r="B682" s="8">
        <f>YEAR(A682)</f>
        <v>2026</v>
      </c>
      <c r="C682" s="27" t="str">
        <f>TEXT(A682,"MMMM")</f>
        <v>fevereiro</v>
      </c>
      <c r="D682" s="30" t="s">
        <v>28</v>
      </c>
      <c r="E682" s="30" t="s">
        <v>14</v>
      </c>
      <c r="F682" s="31">
        <v>4.9803240740740738E-2</v>
      </c>
      <c r="G682" s="31">
        <v>0.44890046296296299</v>
      </c>
      <c r="H682" s="31">
        <v>0.79180555555555554</v>
      </c>
      <c r="I682" s="43">
        <f>H682-G682</f>
        <v>0.34290509259259255</v>
      </c>
      <c r="J682" s="43">
        <v>0.3</v>
      </c>
      <c r="K682" s="2">
        <f>I682-J682</f>
        <v>4.2905092592592564E-2</v>
      </c>
      <c r="L682" s="3"/>
      <c r="M682" s="4">
        <f>F682/I682</f>
        <v>0.14523913997367266</v>
      </c>
      <c r="N682" s="4">
        <f>I682/J682</f>
        <v>1.1430169753086419</v>
      </c>
    </row>
    <row r="683" spans="1:14" x14ac:dyDescent="0.3">
      <c r="A683" s="29">
        <v>46062</v>
      </c>
      <c r="B683" s="8">
        <f>YEAR(A683)</f>
        <v>2026</v>
      </c>
      <c r="C683" s="27" t="str">
        <f>TEXT(A683,"MMMM")</f>
        <v>fevereiro</v>
      </c>
      <c r="D683" s="30" t="s">
        <v>29</v>
      </c>
      <c r="E683" s="30" t="s">
        <v>14</v>
      </c>
      <c r="F683" s="31">
        <v>3.4756944444444444E-2</v>
      </c>
      <c r="G683" s="31">
        <v>0.34545138888888888</v>
      </c>
      <c r="H683" s="31">
        <v>0.64103009259259258</v>
      </c>
      <c r="I683" s="43">
        <f>H683-G683</f>
        <v>0.2955787037037037</v>
      </c>
      <c r="J683" s="43">
        <v>0.3</v>
      </c>
      <c r="K683" s="2"/>
      <c r="L683" s="3">
        <f>J683-I683</f>
        <v>4.4212962962962843E-3</v>
      </c>
      <c r="M683" s="4">
        <f>F683/I683</f>
        <v>0.11758947450857546</v>
      </c>
      <c r="N683" s="4">
        <f>I683/J683</f>
        <v>0.98526234567901239</v>
      </c>
    </row>
    <row r="684" spans="1:14" x14ac:dyDescent="0.3">
      <c r="A684" s="29">
        <v>46063</v>
      </c>
      <c r="B684" s="8">
        <f>YEAR(A684)</f>
        <v>2026</v>
      </c>
      <c r="C684" s="27" t="str">
        <f>TEXT(A684,"MMMM")</f>
        <v>fevereiro</v>
      </c>
      <c r="D684" s="30" t="s">
        <v>16</v>
      </c>
      <c r="E684" s="30" t="s">
        <v>34</v>
      </c>
      <c r="F684" s="31">
        <v>5.755787037037037E-2</v>
      </c>
      <c r="G684" s="31">
        <v>0.33362268518518517</v>
      </c>
      <c r="H684" s="31">
        <v>0.63393518518518521</v>
      </c>
      <c r="I684" s="43">
        <f>H684-G684</f>
        <v>0.30031250000000004</v>
      </c>
      <c r="J684" s="43">
        <v>0.3</v>
      </c>
      <c r="K684" s="2">
        <f>I684-J684</f>
        <v>3.1250000000004885E-4</v>
      </c>
      <c r="L684" s="3"/>
      <c r="M684" s="4">
        <f>F684/I684</f>
        <v>0.19165992214899599</v>
      </c>
      <c r="N684" s="4">
        <f>I684/J684</f>
        <v>1.0010416666666668</v>
      </c>
    </row>
    <row r="685" spans="1:14" x14ac:dyDescent="0.3">
      <c r="A685" s="29">
        <v>46063</v>
      </c>
      <c r="B685" s="8">
        <f>YEAR(A685)</f>
        <v>2026</v>
      </c>
      <c r="C685" s="27" t="str">
        <f>TEXT(A685,"MMMM")</f>
        <v>fevereiro</v>
      </c>
      <c r="D685" s="30" t="s">
        <v>47</v>
      </c>
      <c r="E685" s="30" t="s">
        <v>21</v>
      </c>
      <c r="F685" s="31">
        <v>4.1365740740740738E-2</v>
      </c>
      <c r="G685" s="31">
        <v>0.51818287037037036</v>
      </c>
      <c r="H685" s="31">
        <v>0.75033564814814813</v>
      </c>
      <c r="I685" s="43">
        <f>H685-G685</f>
        <v>0.23215277777777776</v>
      </c>
      <c r="J685" s="43">
        <v>0.25</v>
      </c>
      <c r="K685" s="2"/>
      <c r="L685" s="3">
        <f>J685-I685</f>
        <v>1.7847222222222237E-2</v>
      </c>
      <c r="M685" s="4">
        <f>F685/I685</f>
        <v>0.17818326852128827</v>
      </c>
      <c r="N685" s="4">
        <f>I685/J685</f>
        <v>0.92861111111111105</v>
      </c>
    </row>
    <row r="686" spans="1:14" x14ac:dyDescent="0.3">
      <c r="A686" s="29">
        <v>46063</v>
      </c>
      <c r="B686" s="8">
        <f>YEAR(A686)</f>
        <v>2026</v>
      </c>
      <c r="C686" s="27" t="str">
        <f>TEXT(A686,"MMMM")</f>
        <v>fevereiro</v>
      </c>
      <c r="D686" s="30" t="s">
        <v>18</v>
      </c>
      <c r="E686" s="30" t="s">
        <v>14</v>
      </c>
      <c r="F686" s="31">
        <v>1.6886574074074075E-2</v>
      </c>
      <c r="G686" s="31">
        <v>0.54723379629629632</v>
      </c>
      <c r="H686" s="31">
        <v>0.80798611111111107</v>
      </c>
      <c r="I686" s="43">
        <f>H686-G686</f>
        <v>0.26075231481481476</v>
      </c>
      <c r="J686" s="43">
        <v>0.25</v>
      </c>
      <c r="K686" s="2">
        <f>I686-J686</f>
        <v>1.0752314814814756E-2</v>
      </c>
      <c r="L686" s="3"/>
      <c r="M686" s="4">
        <f>F686/I686</f>
        <v>6.4760974743663741E-2</v>
      </c>
      <c r="N686" s="4">
        <f>I686/J686</f>
        <v>1.043009259259259</v>
      </c>
    </row>
    <row r="687" spans="1:14" x14ac:dyDescent="0.3">
      <c r="A687" s="29">
        <v>46063</v>
      </c>
      <c r="B687" s="8">
        <f>YEAR(A687)</f>
        <v>2026</v>
      </c>
      <c r="C687" s="27" t="str">
        <f>TEXT(A687,"MMMM")</f>
        <v>fevereiro</v>
      </c>
      <c r="D687" s="30" t="s">
        <v>69</v>
      </c>
      <c r="E687" s="30" t="s">
        <v>34</v>
      </c>
      <c r="F687" s="31">
        <v>5.2326388888888888E-2</v>
      </c>
      <c r="G687" s="31">
        <v>0.33565972222222223</v>
      </c>
      <c r="H687" s="31">
        <v>0.63368055555555558</v>
      </c>
      <c r="I687" s="43">
        <f>H687-G687</f>
        <v>0.29802083333333335</v>
      </c>
      <c r="J687" s="43">
        <v>0.3</v>
      </c>
      <c r="K687" s="2"/>
      <c r="L687" s="3">
        <f>J687-I687</f>
        <v>1.979166666666643E-3</v>
      </c>
      <c r="M687" s="4">
        <f>F687/I687</f>
        <v>0.17557963416054992</v>
      </c>
      <c r="N687" s="4">
        <f>I687/J687</f>
        <v>0.99340277777777786</v>
      </c>
    </row>
    <row r="688" spans="1:14" x14ac:dyDescent="0.3">
      <c r="A688" s="29">
        <v>46063</v>
      </c>
      <c r="B688" s="8">
        <f>YEAR(A688)</f>
        <v>2026</v>
      </c>
      <c r="C688" s="27" t="str">
        <f>TEXT(A688,"MMMM")</f>
        <v>fevereiro</v>
      </c>
      <c r="D688" s="30" t="s">
        <v>22</v>
      </c>
      <c r="E688" s="30" t="s">
        <v>21</v>
      </c>
      <c r="F688" s="31">
        <v>4.8020833333333332E-2</v>
      </c>
      <c r="G688" s="31">
        <v>0.33333333333333331</v>
      </c>
      <c r="H688" s="31">
        <v>0.75018518518518518</v>
      </c>
      <c r="I688" s="43">
        <f>H688-G688</f>
        <v>0.41685185185185186</v>
      </c>
      <c r="J688" s="43">
        <v>0.3</v>
      </c>
      <c r="K688" s="2">
        <f>I688-J688</f>
        <v>0.11685185185185187</v>
      </c>
      <c r="L688" s="3"/>
      <c r="M688" s="4">
        <f>F688/I688</f>
        <v>0.11519880053309639</v>
      </c>
      <c r="N688" s="4">
        <f>I688/J688</f>
        <v>1.3895061728395062</v>
      </c>
    </row>
    <row r="689" spans="1:14" x14ac:dyDescent="0.3">
      <c r="A689" s="29">
        <v>46063</v>
      </c>
      <c r="B689" s="8">
        <f>YEAR(A689)</f>
        <v>2026</v>
      </c>
      <c r="C689" s="27" t="str">
        <f>TEXT(A689,"MMMM")</f>
        <v>fevereiro</v>
      </c>
      <c r="D689" s="30" t="s">
        <v>33</v>
      </c>
      <c r="E689" s="30" t="s">
        <v>34</v>
      </c>
      <c r="F689" s="31">
        <v>4.2824074074074077E-2</v>
      </c>
      <c r="G689" s="31">
        <v>0.33333333333333331</v>
      </c>
      <c r="H689" s="31">
        <v>0.66694444444444445</v>
      </c>
      <c r="I689" s="43">
        <f>H689-G689</f>
        <v>0.33361111111111114</v>
      </c>
      <c r="J689" s="43">
        <v>0.3</v>
      </c>
      <c r="K689" s="2">
        <f>I689-J689</f>
        <v>3.3611111111111147E-2</v>
      </c>
      <c r="L689" s="3"/>
      <c r="M689" s="4">
        <f>F689/I689</f>
        <v>0.12836525117957256</v>
      </c>
      <c r="N689" s="4">
        <f>I689/J689</f>
        <v>1.1120370370370372</v>
      </c>
    </row>
    <row r="690" spans="1:14" x14ac:dyDescent="0.3">
      <c r="A690" s="29">
        <v>46063</v>
      </c>
      <c r="B690" s="8">
        <f>YEAR(A690)</f>
        <v>2026</v>
      </c>
      <c r="C690" s="27" t="str">
        <f>TEXT(A690,"MMMM")</f>
        <v>fevereiro</v>
      </c>
      <c r="D690" s="30" t="s">
        <v>24</v>
      </c>
      <c r="E690" s="30" t="s">
        <v>14</v>
      </c>
      <c r="F690" s="31">
        <v>3.4062500000000002E-2</v>
      </c>
      <c r="G690" s="31">
        <v>0.40076388888888886</v>
      </c>
      <c r="H690" s="31">
        <v>0.75953703703703701</v>
      </c>
      <c r="I690" s="43">
        <f>H690-G690</f>
        <v>0.35877314814814815</v>
      </c>
      <c r="J690" s="43">
        <v>0.3</v>
      </c>
      <c r="K690" s="2">
        <f>I690-J690</f>
        <v>5.8773148148148158E-2</v>
      </c>
      <c r="L690" s="3"/>
      <c r="M690" s="4">
        <f>F690/I690</f>
        <v>9.4941609136073302E-2</v>
      </c>
      <c r="N690" s="4">
        <f>I690/J690</f>
        <v>1.1959104938271605</v>
      </c>
    </row>
    <row r="691" spans="1:14" x14ac:dyDescent="0.3">
      <c r="A691" s="29">
        <v>46063</v>
      </c>
      <c r="B691" s="8">
        <f>YEAR(A691)</f>
        <v>2026</v>
      </c>
      <c r="C691" s="27" t="str">
        <f>TEXT(A691,"MMMM")</f>
        <v>fevereiro</v>
      </c>
      <c r="D691" s="30" t="s">
        <v>26</v>
      </c>
      <c r="E691" s="30" t="s">
        <v>15</v>
      </c>
      <c r="F691" s="31">
        <v>4.6412037037037036E-2</v>
      </c>
      <c r="G691" s="31">
        <v>0.33346064814814813</v>
      </c>
      <c r="H691" s="31">
        <v>0.63587962962962963</v>
      </c>
      <c r="I691" s="43">
        <f>H691-G691</f>
        <v>0.3024189814814815</v>
      </c>
      <c r="J691" s="43">
        <v>0.3</v>
      </c>
      <c r="K691" s="2">
        <f>I691-J691</f>
        <v>2.418981481481508E-3</v>
      </c>
      <c r="L691" s="3"/>
      <c r="M691" s="4">
        <f>F691/I691</f>
        <v>0.15346932527077192</v>
      </c>
      <c r="N691" s="4">
        <f>I691/J691</f>
        <v>1.0080632716049385</v>
      </c>
    </row>
    <row r="692" spans="1:14" x14ac:dyDescent="0.3">
      <c r="A692" s="29">
        <v>46063</v>
      </c>
      <c r="B692" s="8">
        <f>YEAR(A692)</f>
        <v>2026</v>
      </c>
      <c r="C692" s="27" t="str">
        <f>TEXT(A692,"MMMM")</f>
        <v>fevereiro</v>
      </c>
      <c r="D692" s="30" t="s">
        <v>27</v>
      </c>
      <c r="E692" s="30" t="s">
        <v>34</v>
      </c>
      <c r="F692" s="31">
        <v>4.5752314814814815E-2</v>
      </c>
      <c r="G692" s="31">
        <v>0.33359953703703704</v>
      </c>
      <c r="H692" s="31">
        <v>0.63412037037037039</v>
      </c>
      <c r="I692" s="43">
        <f>H692-G692</f>
        <v>0.30052083333333335</v>
      </c>
      <c r="J692" s="43">
        <v>0.3</v>
      </c>
      <c r="K692" s="2">
        <f>I692-J692</f>
        <v>5.2083333333335924E-4</v>
      </c>
      <c r="L692" s="3"/>
      <c r="M692" s="4">
        <f>F692/I692</f>
        <v>0.15224340458309263</v>
      </c>
      <c r="N692" s="4">
        <f>I692/J692</f>
        <v>1.0017361111111112</v>
      </c>
    </row>
    <row r="693" spans="1:14" x14ac:dyDescent="0.3">
      <c r="A693" s="29">
        <v>46063</v>
      </c>
      <c r="B693" s="8">
        <f>YEAR(A693)</f>
        <v>2026</v>
      </c>
      <c r="C693" s="27" t="str">
        <f>TEXT(A693,"MMMM")</f>
        <v>fevereiro</v>
      </c>
      <c r="D693" s="30" t="s">
        <v>68</v>
      </c>
      <c r="E693" s="30" t="s">
        <v>34</v>
      </c>
      <c r="F693" s="31">
        <v>4.553240740740741E-2</v>
      </c>
      <c r="G693" s="31">
        <v>0.42326388888888888</v>
      </c>
      <c r="H693" s="31">
        <v>0.75035879629629632</v>
      </c>
      <c r="I693" s="43">
        <f>H693-G693</f>
        <v>0.32709490740740743</v>
      </c>
      <c r="J693" s="43">
        <v>0.3</v>
      </c>
      <c r="K693" s="2">
        <f>I693-J693</f>
        <v>2.7094907407407443E-2</v>
      </c>
      <c r="L693" s="3"/>
      <c r="M693" s="4">
        <f>F693/I693</f>
        <v>0.13920243445030253</v>
      </c>
      <c r="N693" s="4">
        <f>I693/J693</f>
        <v>1.0903163580246915</v>
      </c>
    </row>
    <row r="694" spans="1:14" x14ac:dyDescent="0.3">
      <c r="A694" s="29">
        <v>46063</v>
      </c>
      <c r="B694" s="8">
        <f>YEAR(A694)</f>
        <v>2026</v>
      </c>
      <c r="C694" s="27" t="str">
        <f>TEXT(A694,"MMMM")</f>
        <v>fevereiro</v>
      </c>
      <c r="D694" s="30" t="s">
        <v>32</v>
      </c>
      <c r="E694" s="30" t="s">
        <v>34</v>
      </c>
      <c r="F694" s="31">
        <v>4.283564814814815E-2</v>
      </c>
      <c r="G694" s="31">
        <v>0.40657407407407409</v>
      </c>
      <c r="H694" s="31">
        <v>0.75041666666666662</v>
      </c>
      <c r="I694" s="43">
        <f>H694-G694</f>
        <v>0.34384259259259253</v>
      </c>
      <c r="J694" s="43">
        <v>0.3</v>
      </c>
      <c r="K694" s="2">
        <f>I694-J694</f>
        <v>4.3842592592592544E-2</v>
      </c>
      <c r="L694" s="3"/>
      <c r="M694" s="4">
        <f>F694/I694</f>
        <v>0.12457923791571297</v>
      </c>
      <c r="N694" s="4">
        <f>I694/J694</f>
        <v>1.1461419753086419</v>
      </c>
    </row>
    <row r="695" spans="1:14" x14ac:dyDescent="0.3">
      <c r="A695" s="29">
        <v>46063</v>
      </c>
      <c r="B695" s="8">
        <f>YEAR(A695)</f>
        <v>2026</v>
      </c>
      <c r="C695" s="27" t="str">
        <f>TEXT(A695,"MMMM")</f>
        <v>fevereiro</v>
      </c>
      <c r="D695" s="30" t="s">
        <v>28</v>
      </c>
      <c r="E695" s="30" t="s">
        <v>14</v>
      </c>
      <c r="F695" s="31">
        <v>2.9641203703703704E-2</v>
      </c>
      <c r="G695" s="31">
        <v>0.50528935185185186</v>
      </c>
      <c r="H695" s="31">
        <v>0.7925578703703704</v>
      </c>
      <c r="I695" s="43">
        <f>H695-G695</f>
        <v>0.28726851851851853</v>
      </c>
      <c r="J695" s="43">
        <v>0.3</v>
      </c>
      <c r="K695" s="2"/>
      <c r="L695" s="3">
        <f>J695-I695</f>
        <v>1.2731481481481455E-2</v>
      </c>
      <c r="M695" s="4">
        <f>F695/I695</f>
        <v>0.1031829170024174</v>
      </c>
      <c r="N695" s="4">
        <f>I695/J695</f>
        <v>0.95756172839506182</v>
      </c>
    </row>
    <row r="696" spans="1:14" x14ac:dyDescent="0.3">
      <c r="A696" s="29">
        <v>46063</v>
      </c>
      <c r="B696" s="8">
        <f>YEAR(A696)</f>
        <v>2026</v>
      </c>
      <c r="C696" s="27" t="str">
        <f>TEXT(A696,"MMMM")</f>
        <v>fevereiro</v>
      </c>
      <c r="D696" s="30" t="s">
        <v>29</v>
      </c>
      <c r="E696" s="30" t="s">
        <v>14</v>
      </c>
      <c r="F696" s="31">
        <v>3.8240740740740742E-2</v>
      </c>
      <c r="G696" s="31">
        <v>0.33341435185185186</v>
      </c>
      <c r="H696" s="31">
        <v>0.7221643518518519</v>
      </c>
      <c r="I696" s="43">
        <f>H696-G696</f>
        <v>0.38875000000000004</v>
      </c>
      <c r="J696" s="43">
        <v>0.3</v>
      </c>
      <c r="K696" s="2">
        <f>I696-J696</f>
        <v>8.8750000000000051E-2</v>
      </c>
      <c r="L696" s="3"/>
      <c r="M696" s="4">
        <f>F696/I696</f>
        <v>9.8368464927950455E-2</v>
      </c>
      <c r="N696" s="4">
        <f>I696/J696</f>
        <v>1.2958333333333336</v>
      </c>
    </row>
    <row r="697" spans="1:14" x14ac:dyDescent="0.3">
      <c r="A697" s="29">
        <v>46064</v>
      </c>
      <c r="B697" s="8">
        <f>YEAR(A697)</f>
        <v>2026</v>
      </c>
      <c r="C697" s="27" t="str">
        <f>TEXT(A697,"MMMM")</f>
        <v>fevereiro</v>
      </c>
      <c r="D697" s="30" t="s">
        <v>16</v>
      </c>
      <c r="E697" s="30" t="s">
        <v>34</v>
      </c>
      <c r="F697" s="31">
        <v>5.7233796296296297E-2</v>
      </c>
      <c r="G697" s="31">
        <v>0.3346527777777778</v>
      </c>
      <c r="H697" s="31">
        <v>0.71829861111111115</v>
      </c>
      <c r="I697" s="43">
        <f>H697-G697</f>
        <v>0.38364583333333335</v>
      </c>
      <c r="J697" s="43">
        <v>0.3</v>
      </c>
      <c r="K697" s="2">
        <f>I697-J697</f>
        <v>8.3645833333333364E-2</v>
      </c>
      <c r="L697" s="3"/>
      <c r="M697" s="4">
        <f>F697/I697</f>
        <v>0.14918393821461973</v>
      </c>
      <c r="N697" s="4">
        <f>I697/J697</f>
        <v>1.2788194444444445</v>
      </c>
    </row>
    <row r="698" spans="1:14" x14ac:dyDescent="0.3">
      <c r="A698" s="29">
        <v>46064</v>
      </c>
      <c r="B698" s="8">
        <f>YEAR(A698)</f>
        <v>2026</v>
      </c>
      <c r="C698" s="27" t="str">
        <f>TEXT(A698,"MMMM")</f>
        <v>fevereiro</v>
      </c>
      <c r="D698" s="30" t="s">
        <v>47</v>
      </c>
      <c r="E698" s="30" t="s">
        <v>21</v>
      </c>
      <c r="F698" s="31">
        <v>3.8043981481481484E-2</v>
      </c>
      <c r="G698" s="31">
        <v>0.50415509259259261</v>
      </c>
      <c r="H698" s="31">
        <v>0.75025462962962963</v>
      </c>
      <c r="I698" s="43">
        <f>H698-G698</f>
        <v>0.24609953703703702</v>
      </c>
      <c r="J698" s="43">
        <v>0.25</v>
      </c>
      <c r="K698" s="2"/>
      <c r="L698" s="3">
        <f>J698-I698</f>
        <v>3.9004629629629806E-3</v>
      </c>
      <c r="M698" s="4">
        <f>F698/I698</f>
        <v>0.15458778159243758</v>
      </c>
      <c r="N698" s="4">
        <f>I698/J698</f>
        <v>0.98439814814814808</v>
      </c>
    </row>
    <row r="699" spans="1:14" x14ac:dyDescent="0.3">
      <c r="A699" s="29">
        <v>46064</v>
      </c>
      <c r="B699" s="8">
        <f>YEAR(A699)</f>
        <v>2026</v>
      </c>
      <c r="C699" s="27" t="str">
        <f>TEXT(A699,"MMMM")</f>
        <v>fevereiro</v>
      </c>
      <c r="D699" s="30" t="s">
        <v>18</v>
      </c>
      <c r="E699" s="30" t="s">
        <v>14</v>
      </c>
      <c r="F699" s="31">
        <v>4.3472222222222225E-2</v>
      </c>
      <c r="G699" s="31">
        <v>0.54510416666666661</v>
      </c>
      <c r="H699" s="31">
        <v>0.79520833333333329</v>
      </c>
      <c r="I699" s="43">
        <f>H699-G699</f>
        <v>0.25010416666666668</v>
      </c>
      <c r="J699" s="43">
        <v>0.25</v>
      </c>
      <c r="K699" s="2">
        <f>I699-J699</f>
        <v>1.0416666666668295E-4</v>
      </c>
      <c r="L699" s="3"/>
      <c r="M699" s="4">
        <f>F699/I699</f>
        <v>0.17381646536165488</v>
      </c>
      <c r="N699" s="4">
        <f>I699/J699</f>
        <v>1.0004166666666667</v>
      </c>
    </row>
    <row r="700" spans="1:14" x14ac:dyDescent="0.3">
      <c r="A700" s="29">
        <v>46064</v>
      </c>
      <c r="B700" s="8">
        <f>YEAR(A700)</f>
        <v>2026</v>
      </c>
      <c r="C700" s="27" t="str">
        <f>TEXT(A700,"MMMM")</f>
        <v>fevereiro</v>
      </c>
      <c r="D700" s="30" t="s">
        <v>69</v>
      </c>
      <c r="E700" s="30" t="s">
        <v>34</v>
      </c>
      <c r="F700" s="31">
        <v>4.9525462962962966E-2</v>
      </c>
      <c r="G700" s="31">
        <v>0.33416666666666667</v>
      </c>
      <c r="H700" s="31">
        <v>0.71758101851851852</v>
      </c>
      <c r="I700" s="43">
        <f>H700-G700</f>
        <v>0.38341435185185185</v>
      </c>
      <c r="J700" s="43">
        <v>0.3</v>
      </c>
      <c r="K700" s="2">
        <f>I700-J700</f>
        <v>8.3414351851851865E-2</v>
      </c>
      <c r="L700" s="3"/>
      <c r="M700" s="4">
        <f>F700/I700</f>
        <v>0.12916955957376158</v>
      </c>
      <c r="N700" s="4">
        <f>I700/J700</f>
        <v>1.278047839506173</v>
      </c>
    </row>
    <row r="701" spans="1:14" x14ac:dyDescent="0.3">
      <c r="A701" s="29">
        <v>46064</v>
      </c>
      <c r="B701" s="8">
        <f>YEAR(A701)</f>
        <v>2026</v>
      </c>
      <c r="C701" s="27" t="str">
        <f>TEXT(A701,"MMMM")</f>
        <v>fevereiro</v>
      </c>
      <c r="D701" s="30" t="s">
        <v>22</v>
      </c>
      <c r="E701" s="30" t="s">
        <v>21</v>
      </c>
      <c r="F701" s="31">
        <v>3.2187500000000001E-2</v>
      </c>
      <c r="G701" s="31">
        <v>0.34464120370370371</v>
      </c>
      <c r="H701" s="31">
        <v>0.68883101851851847</v>
      </c>
      <c r="I701" s="43">
        <f>H701-G701</f>
        <v>0.34418981481481475</v>
      </c>
      <c r="J701" s="43">
        <v>0.3</v>
      </c>
      <c r="K701" s="2">
        <f>I701-J701</f>
        <v>4.4189814814814765E-2</v>
      </c>
      <c r="L701" s="3"/>
      <c r="M701" s="4">
        <f>F701/I701</f>
        <v>9.3516712623579273E-2</v>
      </c>
      <c r="N701" s="4">
        <f>I701/J701</f>
        <v>1.1472993827160491</v>
      </c>
    </row>
    <row r="702" spans="1:14" x14ac:dyDescent="0.3">
      <c r="A702" s="29">
        <v>46064</v>
      </c>
      <c r="B702" s="8">
        <f>YEAR(A702)</f>
        <v>2026</v>
      </c>
      <c r="C702" s="27" t="str">
        <f>TEXT(A702,"MMMM")</f>
        <v>fevereiro</v>
      </c>
      <c r="D702" s="30" t="s">
        <v>33</v>
      </c>
      <c r="E702" s="30" t="s">
        <v>34</v>
      </c>
      <c r="F702" s="31">
        <v>3.246527777777778E-2</v>
      </c>
      <c r="G702" s="31">
        <v>0.3334259259259259</v>
      </c>
      <c r="H702" s="31">
        <v>0.66690972222222222</v>
      </c>
      <c r="I702" s="43">
        <f>H702-G702</f>
        <v>0.33348379629629632</v>
      </c>
      <c r="J702" s="43">
        <v>0.3</v>
      </c>
      <c r="K702" s="2">
        <f>I702-J702</f>
        <v>3.3483796296296331E-2</v>
      </c>
      <c r="L702" s="3"/>
      <c r="M702" s="4">
        <f>F702/I702</f>
        <v>9.7351889771977923E-2</v>
      </c>
      <c r="N702" s="4">
        <f>I702/J702</f>
        <v>1.1116126543209879</v>
      </c>
    </row>
    <row r="703" spans="1:14" x14ac:dyDescent="0.3">
      <c r="A703" s="29">
        <v>46064</v>
      </c>
      <c r="B703" s="8">
        <f>YEAR(A703)</f>
        <v>2026</v>
      </c>
      <c r="C703" s="27" t="str">
        <f>TEXT(A703,"MMMM")</f>
        <v>fevereiro</v>
      </c>
      <c r="D703" s="30" t="s">
        <v>24</v>
      </c>
      <c r="E703" s="30" t="s">
        <v>14</v>
      </c>
      <c r="F703" s="31">
        <v>3.2037037037037037E-2</v>
      </c>
      <c r="G703" s="31">
        <v>0.44282407407407409</v>
      </c>
      <c r="H703" s="31">
        <v>0.75070601851851848</v>
      </c>
      <c r="I703" s="43">
        <f>H703-G703</f>
        <v>0.30788194444444439</v>
      </c>
      <c r="J703" s="43">
        <v>0.3</v>
      </c>
      <c r="K703" s="2">
        <f>I703-J703</f>
        <v>7.8819444444443998E-3</v>
      </c>
      <c r="L703" s="3"/>
      <c r="M703" s="4">
        <f>F703/I703</f>
        <v>0.10405623848727494</v>
      </c>
      <c r="N703" s="4">
        <f>I703/J703</f>
        <v>1.026273148148148</v>
      </c>
    </row>
    <row r="704" spans="1:14" x14ac:dyDescent="0.3">
      <c r="A704" s="29">
        <v>46064</v>
      </c>
      <c r="B704" s="8">
        <f>YEAR(A704)</f>
        <v>2026</v>
      </c>
      <c r="C704" s="27" t="str">
        <f>TEXT(A704,"MMMM")</f>
        <v>fevereiro</v>
      </c>
      <c r="D704" s="30" t="s">
        <v>26</v>
      </c>
      <c r="E704" s="30" t="s">
        <v>15</v>
      </c>
      <c r="F704" s="31">
        <v>4.2268518518518518E-2</v>
      </c>
      <c r="G704" s="31">
        <v>0.3334259259259259</v>
      </c>
      <c r="H704" s="31">
        <v>0.719212962962963</v>
      </c>
      <c r="I704" s="43">
        <f>H704-G704</f>
        <v>0.38578703703703709</v>
      </c>
      <c r="J704" s="43">
        <v>0.3</v>
      </c>
      <c r="K704" s="2">
        <f>I704-J704</f>
        <v>8.5787037037037106E-2</v>
      </c>
      <c r="L704" s="3"/>
      <c r="M704" s="4">
        <f>F704/I704</f>
        <v>0.10956438257530299</v>
      </c>
      <c r="N704" s="4">
        <f>I704/J704</f>
        <v>1.285956790123457</v>
      </c>
    </row>
    <row r="705" spans="1:14" x14ac:dyDescent="0.3">
      <c r="A705" s="29">
        <v>46064</v>
      </c>
      <c r="B705" s="8">
        <f>YEAR(A705)</f>
        <v>2026</v>
      </c>
      <c r="C705" s="27" t="str">
        <f>TEXT(A705,"MMMM")</f>
        <v>fevereiro</v>
      </c>
      <c r="D705" s="30" t="s">
        <v>27</v>
      </c>
      <c r="E705" s="30" t="s">
        <v>34</v>
      </c>
      <c r="F705" s="31">
        <v>4.144675925925926E-2</v>
      </c>
      <c r="G705" s="31">
        <v>0.33384259259259258</v>
      </c>
      <c r="H705" s="31">
        <v>0.68193287037037043</v>
      </c>
      <c r="I705" s="43">
        <f>H705-G705</f>
        <v>0.34809027777777785</v>
      </c>
      <c r="J705" s="43">
        <v>0.3</v>
      </c>
      <c r="K705" s="2">
        <f>I705-J705</f>
        <v>4.8090277777777857E-2</v>
      </c>
      <c r="L705" s="3"/>
      <c r="M705" s="4">
        <f>F705/I705</f>
        <v>0.11906899418121361</v>
      </c>
      <c r="N705" s="4">
        <f>I705/J705</f>
        <v>1.1603009259259263</v>
      </c>
    </row>
    <row r="706" spans="1:14" x14ac:dyDescent="0.3">
      <c r="A706" s="29">
        <v>46064</v>
      </c>
      <c r="B706" s="8">
        <f>YEAR(A706)</f>
        <v>2026</v>
      </c>
      <c r="C706" s="27" t="str">
        <f>TEXT(A706,"MMMM")</f>
        <v>fevereiro</v>
      </c>
      <c r="D706" s="30" t="s">
        <v>68</v>
      </c>
      <c r="E706" s="30" t="s">
        <v>34</v>
      </c>
      <c r="F706" s="31">
        <v>4.4432870370370373E-2</v>
      </c>
      <c r="G706" s="31">
        <v>0.44438657407407406</v>
      </c>
      <c r="H706" s="31">
        <v>0.75053240740740745</v>
      </c>
      <c r="I706" s="43">
        <f>H706-G706</f>
        <v>0.30614583333333339</v>
      </c>
      <c r="J706" s="43">
        <v>0.3</v>
      </c>
      <c r="K706" s="2">
        <f>I706-J706</f>
        <v>6.1458333333334059E-3</v>
      </c>
      <c r="L706" s="3"/>
      <c r="M706" s="4">
        <f>F706/I706</f>
        <v>0.1451362897432989</v>
      </c>
      <c r="N706" s="4">
        <f>I706/J706</f>
        <v>1.0204861111111114</v>
      </c>
    </row>
    <row r="707" spans="1:14" x14ac:dyDescent="0.3">
      <c r="A707" s="29">
        <v>46064</v>
      </c>
      <c r="B707" s="8">
        <f>YEAR(A707)</f>
        <v>2026</v>
      </c>
      <c r="C707" s="27" t="str">
        <f>TEXT(A707,"MMMM")</f>
        <v>fevereiro</v>
      </c>
      <c r="D707" s="30" t="s">
        <v>32</v>
      </c>
      <c r="E707" s="30" t="s">
        <v>34</v>
      </c>
      <c r="F707" s="31">
        <v>4.611111111111111E-2</v>
      </c>
      <c r="G707" s="31">
        <v>0.40424768518518517</v>
      </c>
      <c r="H707" s="31">
        <v>0.75062499999999999</v>
      </c>
      <c r="I707" s="43">
        <f>H707-G707</f>
        <v>0.34637731481481482</v>
      </c>
      <c r="J707" s="43">
        <v>0.3</v>
      </c>
      <c r="K707" s="2">
        <f>I707-J707</f>
        <v>4.637731481481483E-2</v>
      </c>
      <c r="L707" s="3"/>
      <c r="M707" s="4">
        <f>F707/I707</f>
        <v>0.13312393490827681</v>
      </c>
      <c r="N707" s="4">
        <f>I707/J707</f>
        <v>1.1545910493827161</v>
      </c>
    </row>
    <row r="708" spans="1:14" x14ac:dyDescent="0.3">
      <c r="A708" s="29">
        <v>46064</v>
      </c>
      <c r="B708" s="8">
        <f>YEAR(A708)</f>
        <v>2026</v>
      </c>
      <c r="C708" s="27" t="str">
        <f>TEXT(A708,"MMMM")</f>
        <v>fevereiro</v>
      </c>
      <c r="D708" s="30" t="s">
        <v>28</v>
      </c>
      <c r="E708" s="30" t="s">
        <v>14</v>
      </c>
      <c r="F708" s="31">
        <v>7.2476851851851848E-2</v>
      </c>
      <c r="G708" s="31">
        <v>0.3820601851851852</v>
      </c>
      <c r="H708" s="31">
        <v>0.75840277777777776</v>
      </c>
      <c r="I708" s="43">
        <f>H708-G708</f>
        <v>0.37634259259259256</v>
      </c>
      <c r="J708" s="43">
        <v>0.3</v>
      </c>
      <c r="K708" s="2">
        <f>I708-J708</f>
        <v>7.6342592592592573E-2</v>
      </c>
      <c r="L708" s="3"/>
      <c r="M708" s="4">
        <f>F708/I708</f>
        <v>0.192582113421085</v>
      </c>
      <c r="N708" s="4">
        <f>I708/J708</f>
        <v>1.2544753086419753</v>
      </c>
    </row>
    <row r="709" spans="1:14" x14ac:dyDescent="0.3">
      <c r="A709" s="29">
        <v>46064</v>
      </c>
      <c r="B709" s="8">
        <f>YEAR(A709)</f>
        <v>2026</v>
      </c>
      <c r="C709" s="27" t="str">
        <f>TEXT(A709,"MMMM")</f>
        <v>fevereiro</v>
      </c>
      <c r="D709" s="30" t="s">
        <v>29</v>
      </c>
      <c r="E709" s="30" t="s">
        <v>14</v>
      </c>
      <c r="F709" s="31">
        <v>2.6284722222222223E-2</v>
      </c>
      <c r="G709" s="31">
        <v>0.3426851851851852</v>
      </c>
      <c r="H709" s="31">
        <v>0.71835648148148146</v>
      </c>
      <c r="I709" s="43">
        <f>H709-G709</f>
        <v>0.37567129629629625</v>
      </c>
      <c r="J709" s="43">
        <v>0.3</v>
      </c>
      <c r="K709" s="2">
        <f>I709-J709</f>
        <v>7.5671296296296264E-2</v>
      </c>
      <c r="L709" s="3"/>
      <c r="M709" s="4">
        <f>F709/I709</f>
        <v>6.9967342411732095E-2</v>
      </c>
      <c r="N709" s="4">
        <f>I709/J709</f>
        <v>1.2522376543209877</v>
      </c>
    </row>
    <row r="710" spans="1:14" x14ac:dyDescent="0.3">
      <c r="A710" s="29">
        <v>46065</v>
      </c>
      <c r="B710" s="8">
        <f>YEAR(A710)</f>
        <v>2026</v>
      </c>
      <c r="C710" s="27" t="str">
        <f>TEXT(A710,"MMMM")</f>
        <v>fevereiro</v>
      </c>
      <c r="D710" s="30" t="s">
        <v>16</v>
      </c>
      <c r="E710" s="30" t="s">
        <v>34</v>
      </c>
      <c r="F710" s="31">
        <v>4.1238425925925928E-2</v>
      </c>
      <c r="G710" s="31">
        <v>0.33379629629629631</v>
      </c>
      <c r="H710" s="31">
        <v>0.63431712962962961</v>
      </c>
      <c r="I710" s="43">
        <f>H710-G710</f>
        <v>0.30052083333333329</v>
      </c>
      <c r="J710" s="43">
        <v>0.3</v>
      </c>
      <c r="K710" s="2">
        <f>I710-J710</f>
        <v>5.2083333333330373E-4</v>
      </c>
      <c r="L710" s="3"/>
      <c r="M710" s="4">
        <f>F710/I710</f>
        <v>0.13722318505680728</v>
      </c>
      <c r="N710" s="4">
        <f>I710/J710</f>
        <v>1.0017361111111109</v>
      </c>
    </row>
    <row r="711" spans="1:14" x14ac:dyDescent="0.3">
      <c r="A711" s="29">
        <v>46065</v>
      </c>
      <c r="B711" s="8">
        <f>YEAR(A711)</f>
        <v>2026</v>
      </c>
      <c r="C711" s="27" t="str">
        <f>TEXT(A711,"MMMM")</f>
        <v>fevereiro</v>
      </c>
      <c r="D711" s="30" t="s">
        <v>47</v>
      </c>
      <c r="E711" s="30" t="s">
        <v>21</v>
      </c>
      <c r="F711" s="31">
        <v>4.4571759259259262E-2</v>
      </c>
      <c r="G711" s="31">
        <v>0.50739583333333338</v>
      </c>
      <c r="H711" s="31">
        <v>0.75043981481481481</v>
      </c>
      <c r="I711" s="43">
        <f>H711-G711</f>
        <v>0.24304398148148143</v>
      </c>
      <c r="J711" s="43">
        <v>0.25</v>
      </c>
      <c r="K711" s="2"/>
      <c r="L711" s="3">
        <f>J711-I711</f>
        <v>6.9560185185185697E-3</v>
      </c>
      <c r="M711" s="4">
        <f>F711/I711</f>
        <v>0.18338968522310592</v>
      </c>
      <c r="N711" s="4">
        <f>I711/J711</f>
        <v>0.97217592592592572</v>
      </c>
    </row>
    <row r="712" spans="1:14" x14ac:dyDescent="0.3">
      <c r="A712" s="29">
        <v>46065</v>
      </c>
      <c r="B712" s="8">
        <f>YEAR(A712)</f>
        <v>2026</v>
      </c>
      <c r="C712" s="27" t="str">
        <f>TEXT(A712,"MMMM")</f>
        <v>fevereiro</v>
      </c>
      <c r="D712" s="30" t="s">
        <v>18</v>
      </c>
      <c r="E712" s="30" t="s">
        <v>14</v>
      </c>
      <c r="F712" s="31">
        <v>7.2962962962962966E-2</v>
      </c>
      <c r="G712" s="31">
        <v>0.49184027777777778</v>
      </c>
      <c r="H712" s="31">
        <v>0.79224537037037035</v>
      </c>
      <c r="I712" s="43">
        <f>H712-G712</f>
        <v>0.30040509259259257</v>
      </c>
      <c r="J712" s="43">
        <v>0.25</v>
      </c>
      <c r="K712" s="2">
        <f>I712-J712</f>
        <v>5.0405092592592571E-2</v>
      </c>
      <c r="L712" s="3"/>
      <c r="M712" s="4">
        <f>F712/I712</f>
        <v>0.24288191099980738</v>
      </c>
      <c r="N712" s="4">
        <f>I712/J712</f>
        <v>1.2016203703703703</v>
      </c>
    </row>
    <row r="713" spans="1:14" x14ac:dyDescent="0.3">
      <c r="A713" s="29">
        <v>46065</v>
      </c>
      <c r="B713" s="8">
        <f>YEAR(A713)</f>
        <v>2026</v>
      </c>
      <c r="C713" s="27" t="str">
        <f>TEXT(A713,"MMMM")</f>
        <v>fevereiro</v>
      </c>
      <c r="D713" s="30" t="s">
        <v>69</v>
      </c>
      <c r="E713" s="30" t="s">
        <v>34</v>
      </c>
      <c r="F713" s="31">
        <v>3.6874999999999998E-2</v>
      </c>
      <c r="G713" s="31">
        <v>0.37214120370370368</v>
      </c>
      <c r="H713" s="31">
        <v>0.63400462962962967</v>
      </c>
      <c r="I713" s="43">
        <f>H713-G713</f>
        <v>0.26186342592592599</v>
      </c>
      <c r="J713" s="43">
        <v>0.3</v>
      </c>
      <c r="K713" s="2"/>
      <c r="L713" s="3">
        <f>J713-I713</f>
        <v>3.8136574074074003E-2</v>
      </c>
      <c r="M713" s="4">
        <f>F713/I713</f>
        <v>0.140817679558011</v>
      </c>
      <c r="N713" s="4">
        <f>I713/J713</f>
        <v>0.87287808641975329</v>
      </c>
    </row>
    <row r="714" spans="1:14" x14ac:dyDescent="0.3">
      <c r="A714" s="29">
        <v>46065</v>
      </c>
      <c r="B714" s="8">
        <f>YEAR(A714)</f>
        <v>2026</v>
      </c>
      <c r="C714" s="27" t="str">
        <f>TEXT(A714,"MMMM")</f>
        <v>fevereiro</v>
      </c>
      <c r="D714" s="30" t="s">
        <v>22</v>
      </c>
      <c r="E714" s="30" t="s">
        <v>21</v>
      </c>
      <c r="F714" s="31">
        <v>3.7928240740740742E-2</v>
      </c>
      <c r="G714" s="31">
        <v>0.33333333333333331</v>
      </c>
      <c r="H714" s="31">
        <v>0.67887731481481484</v>
      </c>
      <c r="I714" s="43">
        <f>H714-G714</f>
        <v>0.34554398148148152</v>
      </c>
      <c r="J714" s="43">
        <v>0.3</v>
      </c>
      <c r="K714" s="2">
        <f>I714-J714</f>
        <v>4.5543981481481532E-2</v>
      </c>
      <c r="L714" s="3"/>
      <c r="M714" s="4">
        <f>F714/I714</f>
        <v>0.10976385865014235</v>
      </c>
      <c r="N714" s="4">
        <f>I714/J714</f>
        <v>1.1518132716049385</v>
      </c>
    </row>
    <row r="715" spans="1:14" x14ac:dyDescent="0.3">
      <c r="A715" s="29">
        <v>46065</v>
      </c>
      <c r="B715" s="8">
        <f>YEAR(A715)</f>
        <v>2026</v>
      </c>
      <c r="C715" s="27" t="str">
        <f>TEXT(A715,"MMMM")</f>
        <v>fevereiro</v>
      </c>
      <c r="D715" s="30" t="s">
        <v>33</v>
      </c>
      <c r="E715" s="30" t="s">
        <v>34</v>
      </c>
      <c r="F715" s="31">
        <v>3.3263888888888891E-2</v>
      </c>
      <c r="G715" s="31">
        <v>0.3336689814814815</v>
      </c>
      <c r="H715" s="31">
        <v>0.66721064814814812</v>
      </c>
      <c r="I715" s="43">
        <f>H715-G715</f>
        <v>0.33354166666666663</v>
      </c>
      <c r="J715" s="43">
        <v>0.3</v>
      </c>
      <c r="K715" s="2">
        <f>I715-J715</f>
        <v>3.3541666666666636E-2</v>
      </c>
      <c r="L715" s="3"/>
      <c r="M715" s="4">
        <f>F715/I715</f>
        <v>9.9729335831771834E-2</v>
      </c>
      <c r="N715" s="4">
        <f>I715/J715</f>
        <v>1.1118055555555555</v>
      </c>
    </row>
    <row r="716" spans="1:14" x14ac:dyDescent="0.3">
      <c r="A716" s="29">
        <v>46065</v>
      </c>
      <c r="B716" s="8">
        <f>YEAR(A716)</f>
        <v>2026</v>
      </c>
      <c r="C716" s="27" t="str">
        <f>TEXT(A716,"MMMM")</f>
        <v>fevereiro</v>
      </c>
      <c r="D716" s="30" t="s">
        <v>24</v>
      </c>
      <c r="E716" s="30" t="s">
        <v>14</v>
      </c>
      <c r="F716" s="31">
        <v>3.5624999999999997E-2</v>
      </c>
      <c r="G716" s="31">
        <v>0.43693287037037037</v>
      </c>
      <c r="H716" s="31">
        <v>0.75035879629629632</v>
      </c>
      <c r="I716" s="43">
        <f>H716-G716</f>
        <v>0.31342592592592594</v>
      </c>
      <c r="J716" s="43">
        <v>0.3</v>
      </c>
      <c r="K716" s="2">
        <f>I716-J716</f>
        <v>1.3425925925925952E-2</v>
      </c>
      <c r="L716" s="3"/>
      <c r="M716" s="4">
        <f>F716/I716</f>
        <v>0.11366322008862628</v>
      </c>
      <c r="N716" s="4">
        <f>I716/J716</f>
        <v>1.0447530864197532</v>
      </c>
    </row>
    <row r="717" spans="1:14" x14ac:dyDescent="0.3">
      <c r="A717" s="29">
        <v>46065</v>
      </c>
      <c r="B717" s="8">
        <f>YEAR(A717)</f>
        <v>2026</v>
      </c>
      <c r="C717" s="27" t="str">
        <f>TEXT(A717,"MMMM")</f>
        <v>fevereiro</v>
      </c>
      <c r="D717" s="30" t="s">
        <v>26</v>
      </c>
      <c r="E717" s="30" t="s">
        <v>15</v>
      </c>
      <c r="F717" s="31">
        <v>3.6041666666666666E-2</v>
      </c>
      <c r="G717" s="31">
        <v>0.33643518518518517</v>
      </c>
      <c r="H717" s="31">
        <v>0.63541666666666663</v>
      </c>
      <c r="I717" s="43">
        <f>H717-G717</f>
        <v>0.29898148148148146</v>
      </c>
      <c r="J717" s="43">
        <v>0.3</v>
      </c>
      <c r="K717" s="2"/>
      <c r="L717" s="3">
        <f>J717-I717</f>
        <v>1.0185185185185297E-3</v>
      </c>
      <c r="M717" s="4">
        <f>F717/I717</f>
        <v>0.12054815732424901</v>
      </c>
      <c r="N717" s="4">
        <f>I717/J717</f>
        <v>0.9966049382716049</v>
      </c>
    </row>
    <row r="718" spans="1:14" x14ac:dyDescent="0.3">
      <c r="A718" s="29">
        <v>46065</v>
      </c>
      <c r="B718" s="8">
        <f>YEAR(A718)</f>
        <v>2026</v>
      </c>
      <c r="C718" s="27" t="str">
        <f>TEXT(A718,"MMMM")</f>
        <v>fevereiro</v>
      </c>
      <c r="D718" s="30" t="s">
        <v>27</v>
      </c>
      <c r="E718" s="30" t="s">
        <v>34</v>
      </c>
      <c r="F718" s="31">
        <v>3.771990740740741E-2</v>
      </c>
      <c r="G718" s="31">
        <v>0.33393518518518517</v>
      </c>
      <c r="H718" s="31">
        <v>0.63364583333333335</v>
      </c>
      <c r="I718" s="43">
        <f>H718-G718</f>
        <v>0.29971064814814818</v>
      </c>
      <c r="J718" s="43">
        <v>0.3</v>
      </c>
      <c r="K718" s="2"/>
      <c r="L718" s="3">
        <f>J718-I718</f>
        <v>2.8935185185180456E-4</v>
      </c>
      <c r="M718" s="4">
        <f>F718/I718</f>
        <v>0.12585441204865805</v>
      </c>
      <c r="N718" s="4">
        <f>I718/J718</f>
        <v>0.99903549382716061</v>
      </c>
    </row>
    <row r="719" spans="1:14" x14ac:dyDescent="0.3">
      <c r="A719" s="29">
        <v>46065</v>
      </c>
      <c r="B719" s="8">
        <f>YEAR(A719)</f>
        <v>2026</v>
      </c>
      <c r="C719" s="27" t="str">
        <f>TEXT(A719,"MMMM")</f>
        <v>fevereiro</v>
      </c>
      <c r="D719" s="30" t="s">
        <v>68</v>
      </c>
      <c r="E719" s="30" t="s">
        <v>34</v>
      </c>
      <c r="F719" s="31">
        <v>5.1145833333333335E-2</v>
      </c>
      <c r="G719" s="31">
        <v>0.39239583333333333</v>
      </c>
      <c r="H719" s="31">
        <v>0.75039351851851854</v>
      </c>
      <c r="I719" s="43">
        <f>H719-G719</f>
        <v>0.35799768518518521</v>
      </c>
      <c r="J719" s="43">
        <v>0.3</v>
      </c>
      <c r="K719" s="2">
        <f>I719-J719</f>
        <v>5.7997685185185222E-2</v>
      </c>
      <c r="L719" s="3"/>
      <c r="M719" s="4">
        <f>F719/I719</f>
        <v>0.1428663800071126</v>
      </c>
      <c r="N719" s="4">
        <f>I719/J719</f>
        <v>1.1933256172839508</v>
      </c>
    </row>
    <row r="720" spans="1:14" x14ac:dyDescent="0.3">
      <c r="A720" s="29">
        <v>46065</v>
      </c>
      <c r="B720" s="8">
        <f>YEAR(A720)</f>
        <v>2026</v>
      </c>
      <c r="C720" s="27" t="str">
        <f>TEXT(A720,"MMMM")</f>
        <v>fevereiro</v>
      </c>
      <c r="D720" s="30" t="s">
        <v>32</v>
      </c>
      <c r="E720" s="30" t="s">
        <v>34</v>
      </c>
      <c r="F720" s="31">
        <v>4.7175925925925927E-2</v>
      </c>
      <c r="G720" s="31">
        <v>0.40062500000000001</v>
      </c>
      <c r="H720" s="31">
        <v>0.75347222222222221</v>
      </c>
      <c r="I720" s="43">
        <f>H720-G720</f>
        <v>0.3528472222222222</v>
      </c>
      <c r="J720" s="43">
        <v>0.3</v>
      </c>
      <c r="K720" s="2">
        <f>I720-J720</f>
        <v>5.2847222222222212E-2</v>
      </c>
      <c r="L720" s="3"/>
      <c r="M720" s="4">
        <f>F720/I720</f>
        <v>0.13370071508233289</v>
      </c>
      <c r="N720" s="4">
        <f>I720/J720</f>
        <v>1.1761574074074075</v>
      </c>
    </row>
    <row r="721" spans="1:14" x14ac:dyDescent="0.3">
      <c r="A721" s="29">
        <v>46065</v>
      </c>
      <c r="B721" s="8">
        <f>YEAR(A721)</f>
        <v>2026</v>
      </c>
      <c r="C721" s="27" t="str">
        <f>TEXT(A721,"MMMM")</f>
        <v>fevereiro</v>
      </c>
      <c r="D721" s="30" t="s">
        <v>28</v>
      </c>
      <c r="E721" s="30" t="s">
        <v>14</v>
      </c>
      <c r="F721" s="31">
        <v>5.4016203703703705E-2</v>
      </c>
      <c r="G721" s="31">
        <v>0.3947222222222222</v>
      </c>
      <c r="H721" s="31">
        <v>0.76069444444444445</v>
      </c>
      <c r="I721" s="43">
        <f>H721-G721</f>
        <v>0.36597222222222225</v>
      </c>
      <c r="J721" s="43">
        <v>0.3</v>
      </c>
      <c r="K721" s="2">
        <f>I721-J721</f>
        <v>6.5972222222222265E-2</v>
      </c>
      <c r="L721" s="3"/>
      <c r="M721" s="4">
        <f>F721/I721</f>
        <v>0.1475964579380139</v>
      </c>
      <c r="N721" s="4">
        <f>I721/J721</f>
        <v>1.2199074074074077</v>
      </c>
    </row>
    <row r="722" spans="1:14" x14ac:dyDescent="0.3">
      <c r="A722" s="29">
        <v>46065</v>
      </c>
      <c r="B722" s="8">
        <f>YEAR(A722)</f>
        <v>2026</v>
      </c>
      <c r="C722" s="27" t="str">
        <f>TEXT(A722,"MMMM")</f>
        <v>fevereiro</v>
      </c>
      <c r="D722" s="30" t="s">
        <v>29</v>
      </c>
      <c r="E722" s="30" t="s">
        <v>14</v>
      </c>
      <c r="F722" s="31">
        <v>3.2743055555555553E-2</v>
      </c>
      <c r="G722" s="31">
        <v>0.33421296296296299</v>
      </c>
      <c r="H722" s="31">
        <v>0.69135416666666671</v>
      </c>
      <c r="I722" s="43">
        <f>H722-G722</f>
        <v>0.35714120370370372</v>
      </c>
      <c r="J722" s="43">
        <v>0.3</v>
      </c>
      <c r="K722" s="2">
        <f>I722-J722</f>
        <v>5.7141203703703736E-2</v>
      </c>
      <c r="L722" s="3"/>
      <c r="M722" s="4">
        <f>F722/I722</f>
        <v>9.1680980004537047E-2</v>
      </c>
      <c r="N722" s="4">
        <f>I722/J722</f>
        <v>1.1904706790123458</v>
      </c>
    </row>
    <row r="723" spans="1:14" x14ac:dyDescent="0.3">
      <c r="A723" s="29">
        <v>46066</v>
      </c>
      <c r="B723" s="8">
        <f>YEAR(A723)</f>
        <v>2026</v>
      </c>
      <c r="C723" s="27" t="str">
        <f>TEXT(A723,"MMMM")</f>
        <v>fevereiro</v>
      </c>
      <c r="D723" s="30" t="s">
        <v>16</v>
      </c>
      <c r="E723" s="30" t="s">
        <v>34</v>
      </c>
      <c r="F723" s="31">
        <v>5.1273148148148151E-2</v>
      </c>
      <c r="G723" s="31">
        <v>0.33503472222222225</v>
      </c>
      <c r="H723" s="31">
        <v>0.7170023148148148</v>
      </c>
      <c r="I723" s="43">
        <f>H723-G723</f>
        <v>0.38196759259259255</v>
      </c>
      <c r="J723" s="43">
        <v>0.3</v>
      </c>
      <c r="K723" s="2">
        <f>I723-J723</f>
        <v>8.1967592592592564E-2</v>
      </c>
      <c r="L723" s="3"/>
      <c r="M723" s="4">
        <f>F723/I723</f>
        <v>0.13423428883097996</v>
      </c>
      <c r="N723" s="4">
        <f>I723/J723</f>
        <v>1.2732253086419751</v>
      </c>
    </row>
    <row r="724" spans="1:14" x14ac:dyDescent="0.3">
      <c r="A724" s="29">
        <v>46066</v>
      </c>
      <c r="B724" s="8">
        <f>YEAR(A724)</f>
        <v>2026</v>
      </c>
      <c r="C724" s="27" t="str">
        <f>TEXT(A724,"MMMM")</f>
        <v>fevereiro</v>
      </c>
      <c r="D724" s="30" t="s">
        <v>18</v>
      </c>
      <c r="E724" s="30" t="s">
        <v>14</v>
      </c>
      <c r="F724" s="31">
        <v>3.9016203703703706E-2</v>
      </c>
      <c r="G724" s="31">
        <v>0.45417824074074076</v>
      </c>
      <c r="H724" s="31">
        <v>0.78600694444444441</v>
      </c>
      <c r="I724" s="43">
        <f>H724-G724</f>
        <v>0.33182870370370365</v>
      </c>
      <c r="J724" s="43">
        <v>0.25</v>
      </c>
      <c r="K724" s="2">
        <f>I724-J724</f>
        <v>8.1828703703703654E-2</v>
      </c>
      <c r="L724" s="3"/>
      <c r="M724" s="4">
        <f>F724/I724</f>
        <v>0.11757935123822813</v>
      </c>
      <c r="N724" s="4">
        <f>I724/J724</f>
        <v>1.3273148148148146</v>
      </c>
    </row>
    <row r="725" spans="1:14" x14ac:dyDescent="0.3">
      <c r="A725" s="29">
        <v>46066</v>
      </c>
      <c r="B725" s="8">
        <f>YEAR(A725)</f>
        <v>2026</v>
      </c>
      <c r="C725" s="27" t="str">
        <f>TEXT(A725,"MMMM")</f>
        <v>fevereiro</v>
      </c>
      <c r="D725" s="30" t="s">
        <v>69</v>
      </c>
      <c r="E725" s="30" t="s">
        <v>34</v>
      </c>
      <c r="F725" s="31">
        <v>4.9895833333333334E-2</v>
      </c>
      <c r="G725" s="31">
        <v>0.34282407407407406</v>
      </c>
      <c r="H725" s="31">
        <v>0.71722222222222221</v>
      </c>
      <c r="I725" s="43">
        <f>H725-G725</f>
        <v>0.37439814814814815</v>
      </c>
      <c r="J725" s="43">
        <v>0.3</v>
      </c>
      <c r="K725" s="2">
        <f>I725-J725</f>
        <v>7.4398148148148158E-2</v>
      </c>
      <c r="L725" s="3"/>
      <c r="M725" s="4">
        <f>F725/I725</f>
        <v>0.13326944478793126</v>
      </c>
      <c r="N725" s="4">
        <f>I725/J725</f>
        <v>1.2479938271604938</v>
      </c>
    </row>
    <row r="726" spans="1:14" x14ac:dyDescent="0.3">
      <c r="A726" s="29">
        <v>46066</v>
      </c>
      <c r="B726" s="8">
        <f>YEAR(A726)</f>
        <v>2026</v>
      </c>
      <c r="C726" s="27" t="str">
        <f>TEXT(A726,"MMMM")</f>
        <v>fevereiro</v>
      </c>
      <c r="D726" s="30" t="s">
        <v>22</v>
      </c>
      <c r="E726" s="30" t="s">
        <v>21</v>
      </c>
      <c r="F726" s="31">
        <v>3.2627314814814817E-2</v>
      </c>
      <c r="G726" s="31">
        <v>0.33399305555555553</v>
      </c>
      <c r="H726" s="31">
        <v>0.63693287037037039</v>
      </c>
      <c r="I726" s="43">
        <f>H726-G726</f>
        <v>0.30293981481481486</v>
      </c>
      <c r="J726" s="43">
        <v>0.3</v>
      </c>
      <c r="K726" s="2">
        <f>I726-J726</f>
        <v>2.9398148148148673E-3</v>
      </c>
      <c r="L726" s="3"/>
      <c r="M726" s="4">
        <f>F726/I726</f>
        <v>0.10770229999235882</v>
      </c>
      <c r="N726" s="4">
        <f>I726/J726</f>
        <v>1.0097993827160496</v>
      </c>
    </row>
    <row r="727" spans="1:14" x14ac:dyDescent="0.3">
      <c r="A727" s="29">
        <v>46066</v>
      </c>
      <c r="B727" s="8">
        <f>YEAR(A727)</f>
        <v>2026</v>
      </c>
      <c r="C727" s="27" t="str">
        <f>TEXT(A727,"MMMM")</f>
        <v>fevereiro</v>
      </c>
      <c r="D727" s="30" t="s">
        <v>33</v>
      </c>
      <c r="E727" s="30" t="s">
        <v>34</v>
      </c>
      <c r="F727" s="31">
        <v>3.7488425925925925E-2</v>
      </c>
      <c r="G727" s="31">
        <v>0.33333333333333331</v>
      </c>
      <c r="H727" s="31">
        <v>0.63395833333333329</v>
      </c>
      <c r="I727" s="43">
        <f>H727-G727</f>
        <v>0.30062499999999998</v>
      </c>
      <c r="J727" s="43">
        <v>0.3</v>
      </c>
      <c r="K727" s="2">
        <f>I727-J727</f>
        <v>6.2499999999998668E-4</v>
      </c>
      <c r="L727" s="3"/>
      <c r="M727" s="4">
        <f>F727/I727</f>
        <v>0.12470162470162471</v>
      </c>
      <c r="N727" s="4">
        <f>I727/J727</f>
        <v>1.0020833333333332</v>
      </c>
    </row>
    <row r="728" spans="1:14" x14ac:dyDescent="0.3">
      <c r="A728" s="29">
        <v>46066</v>
      </c>
      <c r="B728" s="8">
        <f>YEAR(A728)</f>
        <v>2026</v>
      </c>
      <c r="C728" s="27" t="str">
        <f>TEXT(A728,"MMMM")</f>
        <v>fevereiro</v>
      </c>
      <c r="D728" s="30" t="s">
        <v>24</v>
      </c>
      <c r="E728" s="30" t="s">
        <v>14</v>
      </c>
      <c r="F728" s="31">
        <v>3.7673611111111109E-2</v>
      </c>
      <c r="G728" s="31">
        <v>0.40608796296296296</v>
      </c>
      <c r="H728" s="31">
        <v>0.71289351851851857</v>
      </c>
      <c r="I728" s="43">
        <f>H728-G728</f>
        <v>0.30680555555555561</v>
      </c>
      <c r="J728" s="43">
        <v>0.3</v>
      </c>
      <c r="K728" s="2">
        <f>I728-J728</f>
        <v>6.8055555555556202E-3</v>
      </c>
      <c r="L728" s="3"/>
      <c r="M728" s="4">
        <f>F728/I728</f>
        <v>0.12279311905839743</v>
      </c>
      <c r="N728" s="4">
        <f>I728/J728</f>
        <v>1.0226851851851855</v>
      </c>
    </row>
    <row r="729" spans="1:14" x14ac:dyDescent="0.3">
      <c r="A729" s="29">
        <v>46066</v>
      </c>
      <c r="B729" s="8">
        <f>YEAR(A729)</f>
        <v>2026</v>
      </c>
      <c r="C729" s="27" t="str">
        <f>TEXT(A729,"MMMM")</f>
        <v>fevereiro</v>
      </c>
      <c r="D729" s="30" t="s">
        <v>26</v>
      </c>
      <c r="E729" s="30" t="s">
        <v>15</v>
      </c>
      <c r="F729" s="31">
        <v>4.2650462962962966E-2</v>
      </c>
      <c r="G729" s="31">
        <v>0.33508101851851851</v>
      </c>
      <c r="H729" s="31">
        <v>0.63428240740740738</v>
      </c>
      <c r="I729" s="43">
        <f>H729-G729</f>
        <v>0.29920138888888886</v>
      </c>
      <c r="J729" s="43">
        <v>0.3</v>
      </c>
      <c r="K729" s="2"/>
      <c r="L729" s="3">
        <f>J729-I729</f>
        <v>7.9861111111112493E-4</v>
      </c>
      <c r="M729" s="4">
        <f>F729/I729</f>
        <v>0.14254767707245369</v>
      </c>
      <c r="N729" s="4">
        <f>I729/J729</f>
        <v>0.99733796296296295</v>
      </c>
    </row>
    <row r="730" spans="1:14" x14ac:dyDescent="0.3">
      <c r="A730" s="29">
        <v>46066</v>
      </c>
      <c r="B730" s="8">
        <f>YEAR(A730)</f>
        <v>2026</v>
      </c>
      <c r="C730" s="27" t="str">
        <f>TEXT(A730,"MMMM")</f>
        <v>fevereiro</v>
      </c>
      <c r="D730" s="30" t="s">
        <v>27</v>
      </c>
      <c r="E730" s="30" t="s">
        <v>34</v>
      </c>
      <c r="F730" s="31">
        <v>2.5879629629629631E-2</v>
      </c>
      <c r="G730" s="31">
        <v>0.33425925925925926</v>
      </c>
      <c r="H730" s="31">
        <v>0.49763888888888891</v>
      </c>
      <c r="I730" s="43">
        <f>H730-G730</f>
        <v>0.16337962962962965</v>
      </c>
      <c r="J730" s="43">
        <v>0.3</v>
      </c>
      <c r="K730" s="2"/>
      <c r="L730" s="3">
        <f>J730-I730</f>
        <v>0.13662037037037034</v>
      </c>
      <c r="M730" s="4">
        <f>F730/I730</f>
        <v>0.15840181354491356</v>
      </c>
      <c r="N730" s="4">
        <f>I730/J730</f>
        <v>0.54459876543209884</v>
      </c>
    </row>
    <row r="731" spans="1:14" x14ac:dyDescent="0.3">
      <c r="A731" s="29">
        <v>46066</v>
      </c>
      <c r="B731" s="8">
        <f>YEAR(A731)</f>
        <v>2026</v>
      </c>
      <c r="C731" s="27" t="str">
        <f>TEXT(A731,"MMMM")</f>
        <v>fevereiro</v>
      </c>
      <c r="D731" s="30" t="s">
        <v>68</v>
      </c>
      <c r="E731" s="30" t="s">
        <v>34</v>
      </c>
      <c r="F731" s="31">
        <v>4.6840277777777779E-2</v>
      </c>
      <c r="G731" s="31">
        <v>0.33376157407407409</v>
      </c>
      <c r="H731" s="31">
        <v>0.64465277777777774</v>
      </c>
      <c r="I731" s="43">
        <f>H731-G731</f>
        <v>0.31089120370370366</v>
      </c>
      <c r="J731" s="43">
        <v>0.3</v>
      </c>
      <c r="K731" s="2">
        <f>I731-J731</f>
        <v>1.0891203703703667E-2</v>
      </c>
      <c r="L731" s="3"/>
      <c r="M731" s="4">
        <f>F731/I731</f>
        <v>0.1506645322214363</v>
      </c>
      <c r="N731" s="4">
        <f>I731/J731</f>
        <v>1.0363040123456788</v>
      </c>
    </row>
    <row r="732" spans="1:14" x14ac:dyDescent="0.3">
      <c r="A732" s="29">
        <v>46066</v>
      </c>
      <c r="B732" s="8">
        <f>YEAR(A732)</f>
        <v>2026</v>
      </c>
      <c r="C732" s="27" t="str">
        <f>TEXT(A732,"MMMM")</f>
        <v>fevereiro</v>
      </c>
      <c r="D732" s="30" t="s">
        <v>32</v>
      </c>
      <c r="E732" s="30" t="s">
        <v>34</v>
      </c>
      <c r="F732" s="31">
        <v>4.8854166666666664E-2</v>
      </c>
      <c r="G732" s="31">
        <v>0.42866898148148147</v>
      </c>
      <c r="H732" s="31">
        <v>0.75037037037037035</v>
      </c>
      <c r="I732" s="43">
        <f>H732-G732</f>
        <v>0.32170138888888888</v>
      </c>
      <c r="J732" s="43">
        <v>0.3</v>
      </c>
      <c r="K732" s="2">
        <f>I732-J732</f>
        <v>2.1701388888888895E-2</v>
      </c>
      <c r="L732" s="3"/>
      <c r="M732" s="4">
        <f>F732/I732</f>
        <v>0.15186184565569347</v>
      </c>
      <c r="N732" s="4">
        <f>I732/J732</f>
        <v>1.072337962962963</v>
      </c>
    </row>
    <row r="733" spans="1:14" x14ac:dyDescent="0.3">
      <c r="A733" s="29">
        <v>46066</v>
      </c>
      <c r="B733" s="8">
        <f>YEAR(A733)</f>
        <v>2026</v>
      </c>
      <c r="C733" s="27" t="str">
        <f>TEXT(A733,"MMMM")</f>
        <v>fevereiro</v>
      </c>
      <c r="D733" s="30" t="s">
        <v>28</v>
      </c>
      <c r="E733" s="30" t="s">
        <v>14</v>
      </c>
      <c r="F733" s="31">
        <v>4.2175925925925929E-2</v>
      </c>
      <c r="G733" s="31">
        <v>0.36234953703703704</v>
      </c>
      <c r="H733" s="31">
        <v>0.66357638888888892</v>
      </c>
      <c r="I733" s="43">
        <f>H733-G733</f>
        <v>0.30122685185185188</v>
      </c>
      <c r="J733" s="43">
        <v>0.3</v>
      </c>
      <c r="K733" s="2">
        <f>I733-J733</f>
        <v>1.2268518518518956E-3</v>
      </c>
      <c r="L733" s="3"/>
      <c r="M733" s="4">
        <f>F733/I733</f>
        <v>0.14001383232152462</v>
      </c>
      <c r="N733" s="4">
        <f>I733/J733</f>
        <v>1.0040895061728397</v>
      </c>
    </row>
    <row r="734" spans="1:14" x14ac:dyDescent="0.3">
      <c r="A734" s="29">
        <v>46066</v>
      </c>
      <c r="B734" s="8">
        <f>YEAR(A734)</f>
        <v>2026</v>
      </c>
      <c r="C734" s="27" t="str">
        <f>TEXT(A734,"MMMM")</f>
        <v>fevereiro</v>
      </c>
      <c r="D734" s="30" t="s">
        <v>29</v>
      </c>
      <c r="E734" s="30" t="s">
        <v>14</v>
      </c>
      <c r="F734" s="31">
        <v>3.0706018518518518E-2</v>
      </c>
      <c r="G734" s="31">
        <v>0.33339120370370373</v>
      </c>
      <c r="H734" s="31">
        <v>0.49502314814814813</v>
      </c>
      <c r="I734" s="43">
        <f>H734-G734</f>
        <v>0.1616319444444444</v>
      </c>
      <c r="J734" s="43">
        <v>0.3</v>
      </c>
      <c r="K734" s="2"/>
      <c r="L734" s="3">
        <f>J734-I734</f>
        <v>0.13836805555555559</v>
      </c>
      <c r="M734" s="4">
        <f>F734/I734</f>
        <v>0.18997493734335844</v>
      </c>
      <c r="N734" s="4">
        <f>I734/J734</f>
        <v>0.53877314814814803</v>
      </c>
    </row>
    <row r="735" spans="1:14" x14ac:dyDescent="0.3">
      <c r="A735" s="29">
        <v>46071</v>
      </c>
      <c r="B735" s="8">
        <f>YEAR(A735)</f>
        <v>2026</v>
      </c>
      <c r="C735" s="27" t="str">
        <f>TEXT(A735,"MMMM")</f>
        <v>fevereiro</v>
      </c>
      <c r="D735" s="30" t="s">
        <v>16</v>
      </c>
      <c r="E735" s="30" t="s">
        <v>34</v>
      </c>
      <c r="F735" s="31">
        <v>4.0787037037037038E-2</v>
      </c>
      <c r="G735" s="31">
        <v>0.3336689814814815</v>
      </c>
      <c r="H735" s="31">
        <v>0.63378472222222226</v>
      </c>
      <c r="I735" s="43">
        <f>H735-G735</f>
        <v>0.30011574074074077</v>
      </c>
      <c r="J735" s="43">
        <v>0.3</v>
      </c>
      <c r="K735" s="2">
        <f>I735-J735</f>
        <v>1.1574074074077734E-4</v>
      </c>
      <c r="L735" s="3"/>
      <c r="M735" s="4">
        <f>F735/I735</f>
        <v>0.13590435788661781</v>
      </c>
      <c r="N735" s="4">
        <f>I735/J735</f>
        <v>1.0003858024691359</v>
      </c>
    </row>
    <row r="736" spans="1:14" x14ac:dyDescent="0.3">
      <c r="A736" s="29">
        <v>46071</v>
      </c>
      <c r="B736" s="8">
        <f>YEAR(A736)</f>
        <v>2026</v>
      </c>
      <c r="C736" s="27" t="str">
        <f>TEXT(A736,"MMMM")</f>
        <v>fevereiro</v>
      </c>
      <c r="D736" s="30" t="s">
        <v>47</v>
      </c>
      <c r="E736" s="30" t="s">
        <v>21</v>
      </c>
      <c r="F736" s="31">
        <v>4.7488425925925927E-2</v>
      </c>
      <c r="G736" s="31">
        <v>0.50320601851851854</v>
      </c>
      <c r="H736" s="31">
        <v>0.75061342592592595</v>
      </c>
      <c r="I736" s="43">
        <f>H736-G736</f>
        <v>0.24740740740740741</v>
      </c>
      <c r="J736" s="43">
        <v>0.25</v>
      </c>
      <c r="K736" s="2"/>
      <c r="L736" s="3">
        <f>J736-I736</f>
        <v>2.5925925925925908E-3</v>
      </c>
      <c r="M736" s="4">
        <f>F736/I736</f>
        <v>0.19194423652694612</v>
      </c>
      <c r="N736" s="4">
        <f>I736/J736</f>
        <v>0.98962962962962964</v>
      </c>
    </row>
    <row r="737" spans="1:14" x14ac:dyDescent="0.3">
      <c r="A737" s="29">
        <v>46071</v>
      </c>
      <c r="B737" s="8">
        <f>YEAR(A737)</f>
        <v>2026</v>
      </c>
      <c r="C737" s="27" t="str">
        <f>TEXT(A737,"MMMM")</f>
        <v>fevereiro</v>
      </c>
      <c r="D737" s="30" t="s">
        <v>18</v>
      </c>
      <c r="E737" s="30" t="s">
        <v>14</v>
      </c>
      <c r="F737" s="31">
        <v>3.0787037037037036E-2</v>
      </c>
      <c r="G737" s="31">
        <v>0.42430555555555555</v>
      </c>
      <c r="H737" s="31">
        <v>0.69814814814814818</v>
      </c>
      <c r="I737" s="43">
        <f>H737-G737</f>
        <v>0.27384259259259264</v>
      </c>
      <c r="J737" s="43">
        <v>0.25</v>
      </c>
      <c r="K737" s="2">
        <f>I737-J737</f>
        <v>2.3842592592592637E-2</v>
      </c>
      <c r="L737" s="3"/>
      <c r="M737" s="4">
        <f>F737/I737</f>
        <v>0.11242603550295856</v>
      </c>
      <c r="N737" s="4">
        <f>I737/J737</f>
        <v>1.0953703703703705</v>
      </c>
    </row>
    <row r="738" spans="1:14" x14ac:dyDescent="0.3">
      <c r="A738" s="29">
        <v>46071</v>
      </c>
      <c r="B738" s="8">
        <f>YEAR(A738)</f>
        <v>2026</v>
      </c>
      <c r="C738" s="27" t="str">
        <f>TEXT(A738,"MMMM")</f>
        <v>fevereiro</v>
      </c>
      <c r="D738" s="30" t="s">
        <v>69</v>
      </c>
      <c r="E738" s="30" t="s">
        <v>34</v>
      </c>
      <c r="F738" s="31">
        <v>4.2256944444444444E-2</v>
      </c>
      <c r="G738" s="31">
        <v>0.34081018518518519</v>
      </c>
      <c r="H738" s="31">
        <v>0.63438657407407406</v>
      </c>
      <c r="I738" s="43">
        <f>H738-G738</f>
        <v>0.29357638888888887</v>
      </c>
      <c r="J738" s="43">
        <v>0.3</v>
      </c>
      <c r="K738" s="2"/>
      <c r="L738" s="3">
        <f>J738-I738</f>
        <v>6.423611111111116E-3</v>
      </c>
      <c r="M738" s="4">
        <f>F738/I738</f>
        <v>0.14393849793021882</v>
      </c>
      <c r="N738" s="4">
        <f>I738/J738</f>
        <v>0.97858796296296291</v>
      </c>
    </row>
    <row r="739" spans="1:14" x14ac:dyDescent="0.3">
      <c r="A739" s="29">
        <v>46071</v>
      </c>
      <c r="B739" s="8">
        <f>YEAR(A739)</f>
        <v>2026</v>
      </c>
      <c r="C739" s="27" t="str">
        <f>TEXT(A739,"MMMM")</f>
        <v>fevereiro</v>
      </c>
      <c r="D739" s="30" t="s">
        <v>22</v>
      </c>
      <c r="E739" s="30" t="s">
        <v>21</v>
      </c>
      <c r="F739" s="31">
        <v>4.0925925925925928E-2</v>
      </c>
      <c r="G739" s="31">
        <v>0.34065972222222224</v>
      </c>
      <c r="H739" s="31">
        <v>0.63418981481481485</v>
      </c>
      <c r="I739" s="43">
        <f>H739-G739</f>
        <v>0.29353009259259261</v>
      </c>
      <c r="J739" s="43">
        <v>0.3</v>
      </c>
      <c r="K739" s="2"/>
      <c r="L739" s="3">
        <f>J739-I739</f>
        <v>6.4699074074073826E-3</v>
      </c>
      <c r="M739" s="4">
        <f>F739/I739</f>
        <v>0.13942667875872403</v>
      </c>
      <c r="N739" s="4">
        <f>I739/J739</f>
        <v>0.97843364197530869</v>
      </c>
    </row>
    <row r="740" spans="1:14" x14ac:dyDescent="0.3">
      <c r="A740" s="29">
        <v>46071</v>
      </c>
      <c r="B740" s="8">
        <f>YEAR(A740)</f>
        <v>2026</v>
      </c>
      <c r="C740" s="27" t="str">
        <f>TEXT(A740,"MMMM")</f>
        <v>fevereiro</v>
      </c>
      <c r="D740" s="30" t="s">
        <v>33</v>
      </c>
      <c r="E740" s="30" t="s">
        <v>34</v>
      </c>
      <c r="F740" s="31">
        <v>3.5335648148148151E-2</v>
      </c>
      <c r="G740" s="31">
        <v>0.33346064814814813</v>
      </c>
      <c r="H740" s="31">
        <v>0.63462962962962965</v>
      </c>
      <c r="I740" s="43">
        <f>H740-G740</f>
        <v>0.30116898148148152</v>
      </c>
      <c r="J740" s="43">
        <v>0.3</v>
      </c>
      <c r="K740" s="2">
        <f>I740-J740</f>
        <v>1.1689814814815347E-3</v>
      </c>
      <c r="L740" s="3"/>
      <c r="M740" s="4">
        <f>F740/I740</f>
        <v>0.11732831174820336</v>
      </c>
      <c r="N740" s="4">
        <f>I740/J740</f>
        <v>1.0038966049382718</v>
      </c>
    </row>
    <row r="741" spans="1:14" x14ac:dyDescent="0.3">
      <c r="A741" s="29">
        <v>46071</v>
      </c>
      <c r="B741" s="8">
        <f>YEAR(A741)</f>
        <v>2026</v>
      </c>
      <c r="C741" s="27" t="str">
        <f>TEXT(A741,"MMMM")</f>
        <v>fevereiro</v>
      </c>
      <c r="D741" s="30" t="s">
        <v>24</v>
      </c>
      <c r="E741" s="30" t="s">
        <v>14</v>
      </c>
      <c r="F741" s="31">
        <v>2.7881944444444445E-2</v>
      </c>
      <c r="G741" s="31">
        <v>0.45471064814814816</v>
      </c>
      <c r="H741" s="31">
        <v>0.75112268518518521</v>
      </c>
      <c r="I741" s="43">
        <f>H741-G741</f>
        <v>0.29641203703703706</v>
      </c>
      <c r="J741" s="43">
        <v>0.3</v>
      </c>
      <c r="K741" s="2"/>
      <c r="L741" s="3">
        <f>J741-I741</f>
        <v>3.5879629629629317E-3</v>
      </c>
      <c r="M741" s="4">
        <f>F741/I741</f>
        <v>9.4064818430300665E-2</v>
      </c>
      <c r="N741" s="4">
        <f>I741/J741</f>
        <v>0.98804012345679026</v>
      </c>
    </row>
    <row r="742" spans="1:14" x14ac:dyDescent="0.3">
      <c r="A742" s="29">
        <v>46071</v>
      </c>
      <c r="B742" s="8">
        <f>YEAR(A742)</f>
        <v>2026</v>
      </c>
      <c r="C742" s="27" t="str">
        <f>TEXT(A742,"MMMM")</f>
        <v>fevereiro</v>
      </c>
      <c r="D742" s="30" t="s">
        <v>26</v>
      </c>
      <c r="E742" s="30" t="s">
        <v>15</v>
      </c>
      <c r="F742" s="31">
        <v>3.6712962962962961E-2</v>
      </c>
      <c r="G742" s="31">
        <v>0.33333333333333331</v>
      </c>
      <c r="H742" s="31">
        <v>0.63687499999999997</v>
      </c>
      <c r="I742" s="43">
        <f>H742-G742</f>
        <v>0.30354166666666665</v>
      </c>
      <c r="J742" s="43">
        <v>0.3</v>
      </c>
      <c r="K742" s="2">
        <f>I742-J742</f>
        <v>3.5416666666666652E-3</v>
      </c>
      <c r="L742" s="3"/>
      <c r="M742" s="4">
        <f>F742/I742</f>
        <v>0.12094867688553344</v>
      </c>
      <c r="N742" s="4">
        <f>I742/J742</f>
        <v>1.0118055555555556</v>
      </c>
    </row>
    <row r="743" spans="1:14" x14ac:dyDescent="0.3">
      <c r="A743" s="29">
        <v>46071</v>
      </c>
      <c r="B743" s="8">
        <f>YEAR(A743)</f>
        <v>2026</v>
      </c>
      <c r="C743" s="27" t="str">
        <f>TEXT(A743,"MMMM")</f>
        <v>fevereiro</v>
      </c>
      <c r="D743" s="30" t="s">
        <v>27</v>
      </c>
      <c r="E743" s="30" t="s">
        <v>34</v>
      </c>
      <c r="F743" s="31">
        <v>3.4027777777777775E-2</v>
      </c>
      <c r="G743" s="31">
        <v>0.33369212962962963</v>
      </c>
      <c r="H743" s="31">
        <v>0.63378472222222226</v>
      </c>
      <c r="I743" s="43">
        <f>H743-G743</f>
        <v>0.30009259259259263</v>
      </c>
      <c r="J743" s="43">
        <v>0.3</v>
      </c>
      <c r="K743" s="2">
        <f>I743-J743</f>
        <v>9.2592592592644074E-5</v>
      </c>
      <c r="L743" s="3"/>
      <c r="M743" s="4">
        <f>F743/I743</f>
        <v>0.11339092872570192</v>
      </c>
      <c r="N743" s="4">
        <f>I743/J743</f>
        <v>1.0003086419753089</v>
      </c>
    </row>
    <row r="744" spans="1:14" x14ac:dyDescent="0.3">
      <c r="A744" s="29">
        <v>46071</v>
      </c>
      <c r="B744" s="8">
        <f>YEAR(A744)</f>
        <v>2026</v>
      </c>
      <c r="C744" s="27" t="str">
        <f>TEXT(A744,"MMMM")</f>
        <v>fevereiro</v>
      </c>
      <c r="D744" s="30" t="s">
        <v>68</v>
      </c>
      <c r="E744" s="30" t="s">
        <v>34</v>
      </c>
      <c r="F744" s="31">
        <v>5.2777777777777778E-2</v>
      </c>
      <c r="G744" s="31">
        <v>0.44283564814814813</v>
      </c>
      <c r="H744" s="31">
        <v>0.75163194444444448</v>
      </c>
      <c r="I744" s="43">
        <f>H744-G744</f>
        <v>0.30879629629629635</v>
      </c>
      <c r="J744" s="43">
        <v>0.3</v>
      </c>
      <c r="K744" s="2">
        <f>I744-J744</f>
        <v>8.7962962962963576E-3</v>
      </c>
      <c r="L744" s="3"/>
      <c r="M744" s="4">
        <f>F744/I744</f>
        <v>0.17091454272863565</v>
      </c>
      <c r="N744" s="4">
        <f>I744/J744</f>
        <v>1.0293209876543212</v>
      </c>
    </row>
    <row r="745" spans="1:14" x14ac:dyDescent="0.3">
      <c r="A745" s="29">
        <v>46071</v>
      </c>
      <c r="B745" s="8">
        <f>YEAR(A745)</f>
        <v>2026</v>
      </c>
      <c r="C745" s="27" t="str">
        <f>TEXT(A745,"MMMM")</f>
        <v>fevereiro</v>
      </c>
      <c r="D745" s="30" t="s">
        <v>28</v>
      </c>
      <c r="E745" s="30" t="s">
        <v>14</v>
      </c>
      <c r="F745" s="31">
        <v>3.5520833333333335E-2</v>
      </c>
      <c r="G745" s="31">
        <v>0.47540509259259262</v>
      </c>
      <c r="H745" s="31">
        <v>0.77377314814814813</v>
      </c>
      <c r="I745" s="43">
        <f>H745-G745</f>
        <v>0.29836805555555551</v>
      </c>
      <c r="J745" s="43">
        <v>0.3</v>
      </c>
      <c r="K745" s="2"/>
      <c r="L745" s="3">
        <f>J745-I745</f>
        <v>1.6319444444444775E-3</v>
      </c>
      <c r="M745" s="4">
        <f>F745/I745</f>
        <v>0.11905038985220531</v>
      </c>
      <c r="N745" s="4">
        <f>I745/J745</f>
        <v>0.99456018518518507</v>
      </c>
    </row>
    <row r="746" spans="1:14" x14ac:dyDescent="0.3">
      <c r="A746" s="29">
        <v>46071</v>
      </c>
      <c r="B746" s="8">
        <f>YEAR(A746)</f>
        <v>2026</v>
      </c>
      <c r="C746" s="27" t="str">
        <f>TEXT(A746,"MMMM")</f>
        <v>fevereiro</v>
      </c>
      <c r="D746" s="30" t="s">
        <v>29</v>
      </c>
      <c r="E746" s="30" t="s">
        <v>14</v>
      </c>
      <c r="F746" s="31">
        <v>4.5983796296296293E-2</v>
      </c>
      <c r="G746" s="31">
        <v>0.35357638888888887</v>
      </c>
      <c r="H746" s="31">
        <v>0.64284722222222224</v>
      </c>
      <c r="I746" s="43">
        <f>H746-G746</f>
        <v>0.28927083333333337</v>
      </c>
      <c r="J746" s="43">
        <v>0.3</v>
      </c>
      <c r="K746" s="2"/>
      <c r="L746" s="3">
        <f>J746-I746</f>
        <v>1.0729166666666623E-2</v>
      </c>
      <c r="M746" s="4">
        <f>F746/I746</f>
        <v>0.15896451006281756</v>
      </c>
      <c r="N746" s="4">
        <f>I746/J746</f>
        <v>0.96423611111111129</v>
      </c>
    </row>
    <row r="747" spans="1:14" x14ac:dyDescent="0.3">
      <c r="A747" s="29">
        <v>46072</v>
      </c>
      <c r="B747" s="8">
        <f>YEAR(A747)</f>
        <v>2026</v>
      </c>
      <c r="C747" s="27" t="str">
        <f>TEXT(A747,"MMMM")</f>
        <v>fevereiro</v>
      </c>
      <c r="D747" s="30" t="s">
        <v>16</v>
      </c>
      <c r="E747" s="30" t="s">
        <v>34</v>
      </c>
      <c r="F747" s="31">
        <v>4.659722222222222E-2</v>
      </c>
      <c r="G747" s="31">
        <v>0.33520833333333333</v>
      </c>
      <c r="H747" s="31">
        <v>0.63438657407407406</v>
      </c>
      <c r="I747" s="43">
        <f>H747-G747</f>
        <v>0.29917824074074073</v>
      </c>
      <c r="J747" s="43">
        <v>0.3</v>
      </c>
      <c r="K747" s="2"/>
      <c r="L747" s="3">
        <f>J747-I747</f>
        <v>8.2175925925925819E-4</v>
      </c>
      <c r="M747" s="4">
        <f>F747/I747</f>
        <v>0.15575070602344385</v>
      </c>
      <c r="N747" s="4">
        <f>I747/J747</f>
        <v>0.99726080246913584</v>
      </c>
    </row>
    <row r="748" spans="1:14" x14ac:dyDescent="0.3">
      <c r="A748" s="29">
        <v>46072</v>
      </c>
      <c r="B748" s="8">
        <f>YEAR(A748)</f>
        <v>2026</v>
      </c>
      <c r="C748" s="27" t="str">
        <f>TEXT(A748,"MMMM")</f>
        <v>fevereiro</v>
      </c>
      <c r="D748" s="30" t="s">
        <v>47</v>
      </c>
      <c r="E748" s="30" t="s">
        <v>21</v>
      </c>
      <c r="F748" s="31">
        <v>3.5312499999999997E-2</v>
      </c>
      <c r="G748" s="31">
        <v>0.54666666666666663</v>
      </c>
      <c r="H748" s="31">
        <v>0.75024305555555559</v>
      </c>
      <c r="I748" s="43">
        <f>H748-G748</f>
        <v>0.20357638888888896</v>
      </c>
      <c r="J748" s="43">
        <v>0.25</v>
      </c>
      <c r="K748" s="2"/>
      <c r="L748" s="3">
        <f>J748-I748</f>
        <v>4.6423611111111041E-2</v>
      </c>
      <c r="M748" s="4">
        <f>F748/I748</f>
        <v>0.17346068565580752</v>
      </c>
      <c r="N748" s="4">
        <f>I748/J748</f>
        <v>0.81430555555555584</v>
      </c>
    </row>
    <row r="749" spans="1:14" x14ac:dyDescent="0.3">
      <c r="A749" s="29">
        <v>46072</v>
      </c>
      <c r="B749" s="8">
        <f>YEAR(A749)</f>
        <v>2026</v>
      </c>
      <c r="C749" s="27" t="str">
        <f>TEXT(A749,"MMMM")</f>
        <v>fevereiro</v>
      </c>
      <c r="D749" s="30" t="s">
        <v>18</v>
      </c>
      <c r="E749" s="30" t="s">
        <v>14</v>
      </c>
      <c r="F749" s="31">
        <v>3.7199074074074072E-2</v>
      </c>
      <c r="G749" s="31">
        <v>0.37775462962962963</v>
      </c>
      <c r="H749" s="31">
        <v>0.79201388888888891</v>
      </c>
      <c r="I749" s="43">
        <f>H749-G749</f>
        <v>0.41425925925925927</v>
      </c>
      <c r="J749" s="43">
        <v>0.25</v>
      </c>
      <c r="K749" s="2">
        <f>I749-J749</f>
        <v>0.16425925925925927</v>
      </c>
      <c r="L749" s="3"/>
      <c r="M749" s="4">
        <f>F749/I749</f>
        <v>8.9796602592758151E-2</v>
      </c>
      <c r="N749" s="4">
        <f>I749/J749</f>
        <v>1.6570370370370371</v>
      </c>
    </row>
    <row r="750" spans="1:14" x14ac:dyDescent="0.3">
      <c r="A750" s="29">
        <v>46072</v>
      </c>
      <c r="B750" s="8">
        <f>YEAR(A750)</f>
        <v>2026</v>
      </c>
      <c r="C750" s="27" t="str">
        <f>TEXT(A750,"MMMM")</f>
        <v>fevereiro</v>
      </c>
      <c r="D750" s="30" t="s">
        <v>69</v>
      </c>
      <c r="E750" s="30" t="s">
        <v>34</v>
      </c>
      <c r="F750" s="31">
        <v>4.1886574074074076E-2</v>
      </c>
      <c r="G750" s="31">
        <v>0.33759259259259261</v>
      </c>
      <c r="H750" s="31">
        <v>0.6341782407407407</v>
      </c>
      <c r="I750" s="43">
        <f>H750-G750</f>
        <v>0.29658564814814808</v>
      </c>
      <c r="J750" s="43">
        <v>0.3</v>
      </c>
      <c r="K750" s="2"/>
      <c r="L750" s="3">
        <f>J750-I750</f>
        <v>3.4143518518519045E-3</v>
      </c>
      <c r="M750" s="4">
        <f>F750/I750</f>
        <v>0.14122926829268295</v>
      </c>
      <c r="N750" s="4">
        <f>I750/J750</f>
        <v>0.98861882716049365</v>
      </c>
    </row>
    <row r="751" spans="1:14" x14ac:dyDescent="0.3">
      <c r="A751" s="29">
        <v>46072</v>
      </c>
      <c r="B751" s="8">
        <f>YEAR(A751)</f>
        <v>2026</v>
      </c>
      <c r="C751" s="27" t="str">
        <f>TEXT(A751,"MMMM")</f>
        <v>fevereiro</v>
      </c>
      <c r="D751" s="30" t="s">
        <v>22</v>
      </c>
      <c r="E751" s="30" t="s">
        <v>21</v>
      </c>
      <c r="F751" s="31">
        <v>3.681712962962963E-2</v>
      </c>
      <c r="G751" s="31">
        <v>0.33629629629629632</v>
      </c>
      <c r="H751" s="31">
        <v>0.63371527777777781</v>
      </c>
      <c r="I751" s="43">
        <f>H751-G751</f>
        <v>0.29741898148148149</v>
      </c>
      <c r="J751" s="43">
        <v>0.3</v>
      </c>
      <c r="K751" s="2"/>
      <c r="L751" s="3">
        <f>J751-I751</f>
        <v>2.5810185185184964E-3</v>
      </c>
      <c r="M751" s="4">
        <f>F751/I751</f>
        <v>0.12378876911701754</v>
      </c>
      <c r="N751" s="4">
        <f>I751/J751</f>
        <v>0.99139660493827164</v>
      </c>
    </row>
    <row r="752" spans="1:14" x14ac:dyDescent="0.3">
      <c r="A752" s="29">
        <v>46072</v>
      </c>
      <c r="B752" s="8">
        <f>YEAR(A752)</f>
        <v>2026</v>
      </c>
      <c r="C752" s="27" t="str">
        <f>TEXT(A752,"MMMM")</f>
        <v>fevereiro</v>
      </c>
      <c r="D752" s="30" t="s">
        <v>33</v>
      </c>
      <c r="E752" s="30" t="s">
        <v>34</v>
      </c>
      <c r="F752" s="31">
        <v>4.0567129629629627E-2</v>
      </c>
      <c r="G752" s="31">
        <v>0.33333333333333331</v>
      </c>
      <c r="H752" s="31">
        <v>0.63487268518518514</v>
      </c>
      <c r="I752" s="43">
        <f>H752-G752</f>
        <v>0.30153935185185182</v>
      </c>
      <c r="J752" s="43">
        <v>0.3</v>
      </c>
      <c r="K752" s="2">
        <f>I752-J752</f>
        <v>1.5393518518518334E-3</v>
      </c>
      <c r="L752" s="3"/>
      <c r="M752" s="4">
        <f>F752/I752</f>
        <v>0.13453345104210648</v>
      </c>
      <c r="N752" s="4">
        <f>I752/J752</f>
        <v>1.005131172839506</v>
      </c>
    </row>
    <row r="753" spans="1:14" x14ac:dyDescent="0.3">
      <c r="A753" s="29">
        <v>46072</v>
      </c>
      <c r="B753" s="8">
        <f>YEAR(A753)</f>
        <v>2026</v>
      </c>
      <c r="C753" s="27" t="str">
        <f>TEXT(A753,"MMMM")</f>
        <v>fevereiro</v>
      </c>
      <c r="D753" s="30" t="s">
        <v>24</v>
      </c>
      <c r="E753" s="30" t="s">
        <v>14</v>
      </c>
      <c r="F753" s="31">
        <v>2.9456018518518517E-2</v>
      </c>
      <c r="G753" s="31">
        <v>0.44119212962962961</v>
      </c>
      <c r="H753" s="31">
        <v>0.75048611111111108</v>
      </c>
      <c r="I753" s="43">
        <f>H753-G753</f>
        <v>0.30929398148148146</v>
      </c>
      <c r="J753" s="43">
        <v>0.3</v>
      </c>
      <c r="K753" s="2">
        <f>I753-J753</f>
        <v>9.2939814814814725E-3</v>
      </c>
      <c r="L753" s="3"/>
      <c r="M753" s="4">
        <f>F753/I753</f>
        <v>9.523631328817872E-2</v>
      </c>
      <c r="N753" s="4">
        <f>I753/J753</f>
        <v>1.0309799382716049</v>
      </c>
    </row>
    <row r="754" spans="1:14" x14ac:dyDescent="0.3">
      <c r="A754" s="29">
        <v>46072</v>
      </c>
      <c r="B754" s="8">
        <f>YEAR(A754)</f>
        <v>2026</v>
      </c>
      <c r="C754" s="27" t="str">
        <f>TEXT(A754,"MMMM")</f>
        <v>fevereiro</v>
      </c>
      <c r="D754" s="30" t="s">
        <v>26</v>
      </c>
      <c r="E754" s="30" t="s">
        <v>15</v>
      </c>
      <c r="F754" s="31">
        <v>3.5636574074074077E-2</v>
      </c>
      <c r="G754" s="31">
        <v>0.33907407407407408</v>
      </c>
      <c r="H754" s="31">
        <v>0.63468749999999996</v>
      </c>
      <c r="I754" s="43">
        <f>H754-G754</f>
        <v>0.29561342592592588</v>
      </c>
      <c r="J754" s="43">
        <v>0.3</v>
      </c>
      <c r="K754" s="2"/>
      <c r="L754" s="3">
        <f>J754-I754</f>
        <v>4.3865740740741122E-3</v>
      </c>
      <c r="M754" s="4">
        <f>F754/I754</f>
        <v>0.1205512705062449</v>
      </c>
      <c r="N754" s="4">
        <f>I754/J754</f>
        <v>0.985378086419753</v>
      </c>
    </row>
    <row r="755" spans="1:14" x14ac:dyDescent="0.3">
      <c r="A755" s="29">
        <v>46072</v>
      </c>
      <c r="B755" s="8">
        <f>YEAR(A755)</f>
        <v>2026</v>
      </c>
      <c r="C755" s="27" t="str">
        <f>TEXT(A755,"MMMM")</f>
        <v>fevereiro</v>
      </c>
      <c r="D755" s="30" t="s">
        <v>27</v>
      </c>
      <c r="E755" s="30" t="s">
        <v>34</v>
      </c>
      <c r="F755" s="31">
        <v>3.6724537037037035E-2</v>
      </c>
      <c r="G755" s="31">
        <v>0.33372685185185186</v>
      </c>
      <c r="H755" s="31">
        <v>0.63394675925925925</v>
      </c>
      <c r="I755" s="43">
        <f>H755-G755</f>
        <v>0.30021990740740739</v>
      </c>
      <c r="J755" s="43">
        <v>0.3</v>
      </c>
      <c r="K755" s="2">
        <f>I755-J755</f>
        <v>2.1990740740740478E-4</v>
      </c>
      <c r="L755" s="3"/>
      <c r="M755" s="4">
        <f>F755/I755</f>
        <v>0.12232545587725047</v>
      </c>
      <c r="N755" s="4">
        <f>I755/J755</f>
        <v>1.0007330246913579</v>
      </c>
    </row>
    <row r="756" spans="1:14" x14ac:dyDescent="0.3">
      <c r="A756" s="29">
        <v>46072</v>
      </c>
      <c r="B756" s="8">
        <f>YEAR(A756)</f>
        <v>2026</v>
      </c>
      <c r="C756" s="27" t="str">
        <f>TEXT(A756,"MMMM")</f>
        <v>fevereiro</v>
      </c>
      <c r="D756" s="30" t="s">
        <v>68</v>
      </c>
      <c r="E756" s="30" t="s">
        <v>34</v>
      </c>
      <c r="F756" s="31">
        <v>4.9050925925925928E-2</v>
      </c>
      <c r="G756" s="31">
        <v>0.45069444444444445</v>
      </c>
      <c r="H756" s="31">
        <v>0.7507638888888889</v>
      </c>
      <c r="I756" s="43">
        <f>H756-G756</f>
        <v>0.30006944444444444</v>
      </c>
      <c r="J756" s="43">
        <v>0.3</v>
      </c>
      <c r="K756" s="2">
        <f>I756-J756</f>
        <v>6.94444444444553E-5</v>
      </c>
      <c r="L756" s="3"/>
      <c r="M756" s="4">
        <f>F756/I756</f>
        <v>0.16346524724215075</v>
      </c>
      <c r="N756" s="4">
        <f>I756/J756</f>
        <v>1.0002314814814814</v>
      </c>
    </row>
    <row r="757" spans="1:14" x14ac:dyDescent="0.3">
      <c r="A757" s="29">
        <v>46072</v>
      </c>
      <c r="B757" s="8">
        <f>YEAR(A757)</f>
        <v>2026</v>
      </c>
      <c r="C757" s="27" t="str">
        <f>TEXT(A757,"MMMM")</f>
        <v>fevereiro</v>
      </c>
      <c r="D757" s="30" t="s">
        <v>32</v>
      </c>
      <c r="E757" s="30" t="s">
        <v>34</v>
      </c>
      <c r="F757" s="31">
        <v>4.1956018518518517E-2</v>
      </c>
      <c r="G757" s="31">
        <v>0.45177083333333334</v>
      </c>
      <c r="H757" s="31">
        <v>0.75064814814814818</v>
      </c>
      <c r="I757" s="43">
        <f>H757-G757</f>
        <v>0.29887731481481483</v>
      </c>
      <c r="J757" s="43">
        <v>0.3</v>
      </c>
      <c r="K757" s="2"/>
      <c r="L757" s="3">
        <f>J757-I757</f>
        <v>1.1226851851851571E-3</v>
      </c>
      <c r="M757" s="4">
        <f>F757/I757</f>
        <v>0.14037873213801649</v>
      </c>
      <c r="N757" s="4">
        <f>I757/J757</f>
        <v>0.99625771604938285</v>
      </c>
    </row>
    <row r="758" spans="1:14" x14ac:dyDescent="0.3">
      <c r="A758" s="29">
        <v>46072</v>
      </c>
      <c r="B758" s="8">
        <f>YEAR(A758)</f>
        <v>2026</v>
      </c>
      <c r="C758" s="27" t="str">
        <f>TEXT(A758,"MMMM")</f>
        <v>fevereiro</v>
      </c>
      <c r="D758" s="30" t="s">
        <v>28</v>
      </c>
      <c r="E758" s="30" t="s">
        <v>14</v>
      </c>
      <c r="F758" s="31">
        <v>4.2048611111111113E-2</v>
      </c>
      <c r="G758" s="31">
        <v>0.46216435185185184</v>
      </c>
      <c r="H758" s="31">
        <v>0.75696759259259261</v>
      </c>
      <c r="I758" s="43">
        <f>H758-G758</f>
        <v>0.29480324074074077</v>
      </c>
      <c r="J758" s="43">
        <v>0.3</v>
      </c>
      <c r="K758" s="2"/>
      <c r="L758" s="3">
        <f>J758-I758</f>
        <v>5.1967592592592204E-3</v>
      </c>
      <c r="M758" s="4">
        <f>F758/I758</f>
        <v>0.14263279808409562</v>
      </c>
      <c r="N758" s="4">
        <f>I758/J758</f>
        <v>0.98267746913580256</v>
      </c>
    </row>
    <row r="759" spans="1:14" x14ac:dyDescent="0.3">
      <c r="A759" s="29">
        <v>46072</v>
      </c>
      <c r="B759" s="8">
        <f>YEAR(A759)</f>
        <v>2026</v>
      </c>
      <c r="C759" s="27" t="str">
        <f>TEXT(A759,"MMMM")</f>
        <v>fevereiro</v>
      </c>
      <c r="D759" s="30" t="s">
        <v>29</v>
      </c>
      <c r="E759" s="30" t="s">
        <v>14</v>
      </c>
      <c r="F759" s="31">
        <v>3.5254629629629629E-2</v>
      </c>
      <c r="G759" s="31">
        <v>0.35195601851851854</v>
      </c>
      <c r="H759" s="31">
        <v>0.63659722222222226</v>
      </c>
      <c r="I759" s="43">
        <f>H759-G759</f>
        <v>0.28464120370370372</v>
      </c>
      <c r="J759" s="43">
        <v>0.3</v>
      </c>
      <c r="K759" s="2"/>
      <c r="L759" s="3">
        <f>J759-I759</f>
        <v>1.5358796296296273E-2</v>
      </c>
      <c r="M759" s="4">
        <f>F759/I759</f>
        <v>0.12385638189728784</v>
      </c>
      <c r="N759" s="4">
        <f>I759/J759</f>
        <v>0.94880401234567913</v>
      </c>
    </row>
    <row r="760" spans="1:14" x14ac:dyDescent="0.3">
      <c r="A760" s="29">
        <v>46073</v>
      </c>
      <c r="B760" s="8">
        <f>YEAR(A760)</f>
        <v>2026</v>
      </c>
      <c r="C760" s="27" t="str">
        <f>TEXT(A760,"MMMM")</f>
        <v>fevereiro</v>
      </c>
      <c r="D760" s="30" t="s">
        <v>16</v>
      </c>
      <c r="E760" s="30" t="s">
        <v>34</v>
      </c>
      <c r="F760" s="31">
        <v>4.8460648148148149E-2</v>
      </c>
      <c r="G760" s="31">
        <v>0.3342013888888889</v>
      </c>
      <c r="H760" s="31">
        <v>0.63412037037037039</v>
      </c>
      <c r="I760" s="43">
        <f>H760-G760</f>
        <v>0.29991898148148149</v>
      </c>
      <c r="J760" s="43">
        <v>0.3</v>
      </c>
      <c r="K760" s="2"/>
      <c r="L760" s="3">
        <f>J760-I760</f>
        <v>8.1018518518494176E-5</v>
      </c>
      <c r="M760" s="4">
        <f>F760/I760</f>
        <v>0.16157913016632577</v>
      </c>
      <c r="N760" s="4">
        <f>I760/J760</f>
        <v>0.99972993827160506</v>
      </c>
    </row>
    <row r="761" spans="1:14" x14ac:dyDescent="0.3">
      <c r="A761" s="29">
        <v>46073</v>
      </c>
      <c r="B761" s="8">
        <f>YEAR(A761)</f>
        <v>2026</v>
      </c>
      <c r="C761" s="27" t="str">
        <f>TEXT(A761,"MMMM")</f>
        <v>fevereiro</v>
      </c>
      <c r="D761" s="30" t="s">
        <v>18</v>
      </c>
      <c r="E761" s="30" t="s">
        <v>14</v>
      </c>
      <c r="F761" s="31">
        <v>8.1944444444444452E-3</v>
      </c>
      <c r="G761" s="31">
        <v>0.48376157407407405</v>
      </c>
      <c r="H761" s="31">
        <v>0.75</v>
      </c>
      <c r="I761" s="43">
        <f>H761-G761</f>
        <v>0.26623842592592595</v>
      </c>
      <c r="J761" s="43">
        <v>0.25</v>
      </c>
      <c r="K761" s="2">
        <f>I761-J761</f>
        <v>1.6238425925925948E-2</v>
      </c>
      <c r="L761" s="3"/>
      <c r="M761" s="4">
        <f>F761/I761</f>
        <v>3.0778594096422206E-2</v>
      </c>
      <c r="N761" s="4">
        <f>I761/J761</f>
        <v>1.0649537037037038</v>
      </c>
    </row>
    <row r="762" spans="1:14" x14ac:dyDescent="0.3">
      <c r="A762" s="29">
        <v>46073</v>
      </c>
      <c r="B762" s="8">
        <f>YEAR(A762)</f>
        <v>2026</v>
      </c>
      <c r="C762" s="27" t="str">
        <f>TEXT(A762,"MMMM")</f>
        <v>fevereiro</v>
      </c>
      <c r="D762" s="30" t="s">
        <v>69</v>
      </c>
      <c r="E762" s="30" t="s">
        <v>34</v>
      </c>
      <c r="F762" s="31">
        <v>6.1886574074074073E-2</v>
      </c>
      <c r="G762" s="31">
        <v>0.34493055555555557</v>
      </c>
      <c r="H762" s="31">
        <v>0.63391203703703702</v>
      </c>
      <c r="I762" s="43">
        <f>H762-G762</f>
        <v>0.28898148148148145</v>
      </c>
      <c r="J762" s="43">
        <v>0.3</v>
      </c>
      <c r="K762" s="2"/>
      <c r="L762" s="3">
        <f>J762-I762</f>
        <v>1.1018518518518539E-2</v>
      </c>
      <c r="M762" s="4">
        <f>F762/I762</f>
        <v>0.21415411727010575</v>
      </c>
      <c r="N762" s="4">
        <f>I762/J762</f>
        <v>0.96327160493827158</v>
      </c>
    </row>
    <row r="763" spans="1:14" x14ac:dyDescent="0.3">
      <c r="A763" s="29">
        <v>46073</v>
      </c>
      <c r="B763" s="8">
        <f>YEAR(A763)</f>
        <v>2026</v>
      </c>
      <c r="C763" s="27" t="str">
        <f>TEXT(A763,"MMMM")</f>
        <v>fevereiro</v>
      </c>
      <c r="D763" s="30" t="s">
        <v>22</v>
      </c>
      <c r="E763" s="30" t="s">
        <v>21</v>
      </c>
      <c r="F763" s="31">
        <v>3.9108796296296294E-2</v>
      </c>
      <c r="G763" s="31">
        <v>0.33484953703703701</v>
      </c>
      <c r="H763" s="31">
        <v>0.63437500000000002</v>
      </c>
      <c r="I763" s="43">
        <f>H763-G763</f>
        <v>0.29952546296296301</v>
      </c>
      <c r="J763" s="43">
        <v>0.3</v>
      </c>
      <c r="K763" s="2"/>
      <c r="L763" s="3">
        <f>J763-I763</f>
        <v>4.7453703703698169E-4</v>
      </c>
      <c r="M763" s="4">
        <f>F763/I763</f>
        <v>0.13056918737200043</v>
      </c>
      <c r="N763" s="4">
        <f>I763/J763</f>
        <v>0.99841820987654339</v>
      </c>
    </row>
    <row r="764" spans="1:14" x14ac:dyDescent="0.3">
      <c r="A764" s="29">
        <v>46073</v>
      </c>
      <c r="B764" s="8">
        <f>YEAR(A764)</f>
        <v>2026</v>
      </c>
      <c r="C764" s="27" t="str">
        <f>TEXT(A764,"MMMM")</f>
        <v>fevereiro</v>
      </c>
      <c r="D764" s="30" t="s">
        <v>33</v>
      </c>
      <c r="E764" s="30" t="s">
        <v>34</v>
      </c>
      <c r="F764" s="31">
        <v>4.5717592592592594E-2</v>
      </c>
      <c r="G764" s="31">
        <v>0.33333333333333331</v>
      </c>
      <c r="H764" s="31">
        <v>0.63413194444444443</v>
      </c>
      <c r="I764" s="43">
        <f>H764-G764</f>
        <v>0.30079861111111111</v>
      </c>
      <c r="J764" s="43">
        <v>0.3</v>
      </c>
      <c r="K764" s="2">
        <f>I764-J764</f>
        <v>7.9861111111112493E-4</v>
      </c>
      <c r="L764" s="3"/>
      <c r="M764" s="4">
        <f>F764/I764</f>
        <v>0.15198737927584749</v>
      </c>
      <c r="N764" s="4">
        <f>I764/J764</f>
        <v>1.0026620370370372</v>
      </c>
    </row>
    <row r="765" spans="1:14" x14ac:dyDescent="0.3">
      <c r="A765" s="29">
        <v>46073</v>
      </c>
      <c r="B765" s="8">
        <f>YEAR(A765)</f>
        <v>2026</v>
      </c>
      <c r="C765" s="27" t="str">
        <f>TEXT(A765,"MMMM")</f>
        <v>fevereiro</v>
      </c>
      <c r="D765" s="30" t="s">
        <v>24</v>
      </c>
      <c r="E765" s="30" t="s">
        <v>14</v>
      </c>
      <c r="F765" s="31">
        <v>0</v>
      </c>
      <c r="G765" s="31">
        <v>0.41388888888888886</v>
      </c>
      <c r="H765" s="31">
        <v>0.75</v>
      </c>
      <c r="I765" s="43">
        <f>H765-G765</f>
        <v>0.33611111111111114</v>
      </c>
      <c r="J765" s="43">
        <v>0.3</v>
      </c>
      <c r="K765" s="2">
        <f>I765-J765</f>
        <v>3.6111111111111149E-2</v>
      </c>
      <c r="L765" s="3"/>
      <c r="M765" s="4">
        <f>F765/I765</f>
        <v>0</v>
      </c>
      <c r="N765" s="4">
        <f>I765/J765</f>
        <v>1.1203703703703705</v>
      </c>
    </row>
    <row r="766" spans="1:14" x14ac:dyDescent="0.3">
      <c r="A766" s="29">
        <v>46073</v>
      </c>
      <c r="B766" s="8">
        <f>YEAR(A766)</f>
        <v>2026</v>
      </c>
      <c r="C766" s="27" t="str">
        <f>TEXT(A766,"MMMM")</f>
        <v>fevereiro</v>
      </c>
      <c r="D766" s="30" t="s">
        <v>26</v>
      </c>
      <c r="E766" s="30" t="s">
        <v>15</v>
      </c>
      <c r="F766" s="31">
        <v>4.5428240740740741E-2</v>
      </c>
      <c r="G766" s="31">
        <v>0.33403935185185185</v>
      </c>
      <c r="H766" s="31">
        <v>0.63376157407407407</v>
      </c>
      <c r="I766" s="43">
        <f>H766-G766</f>
        <v>0.29972222222222222</v>
      </c>
      <c r="J766" s="43">
        <v>0.3</v>
      </c>
      <c r="K766" s="2"/>
      <c r="L766" s="3">
        <f>J766-I766</f>
        <v>2.7777777777776569E-4</v>
      </c>
      <c r="M766" s="4">
        <f>F766/I766</f>
        <v>0.15156780970033981</v>
      </c>
      <c r="N766" s="4">
        <f>I766/J766</f>
        <v>0.99907407407407411</v>
      </c>
    </row>
    <row r="767" spans="1:14" x14ac:dyDescent="0.3">
      <c r="A767" s="29">
        <v>46073</v>
      </c>
      <c r="B767" s="8">
        <f>YEAR(A767)</f>
        <v>2026</v>
      </c>
      <c r="C767" s="27" t="str">
        <f>TEXT(A767,"MMMM")</f>
        <v>fevereiro</v>
      </c>
      <c r="D767" s="30" t="s">
        <v>27</v>
      </c>
      <c r="E767" s="30" t="s">
        <v>34</v>
      </c>
      <c r="F767" s="31">
        <v>3.6354166666666667E-2</v>
      </c>
      <c r="G767" s="31">
        <v>0.33383101851851854</v>
      </c>
      <c r="H767" s="31">
        <v>0.63393518518518521</v>
      </c>
      <c r="I767" s="43">
        <f>H767-G767</f>
        <v>0.30010416666666667</v>
      </c>
      <c r="J767" s="43">
        <v>0.3</v>
      </c>
      <c r="K767" s="2">
        <f>I767-J767</f>
        <v>1.0416666666668295E-4</v>
      </c>
      <c r="L767" s="3"/>
      <c r="M767" s="4">
        <f>F767/I767</f>
        <v>0.12113849357861853</v>
      </c>
      <c r="N767" s="4">
        <f>I767/J767</f>
        <v>1.0003472222222223</v>
      </c>
    </row>
    <row r="768" spans="1:14" x14ac:dyDescent="0.3">
      <c r="A768" s="29">
        <v>46073</v>
      </c>
      <c r="B768" s="8">
        <f>YEAR(A768)</f>
        <v>2026</v>
      </c>
      <c r="C768" s="27" t="str">
        <f>TEXT(A768,"MMMM")</f>
        <v>fevereiro</v>
      </c>
      <c r="D768" s="30" t="s">
        <v>68</v>
      </c>
      <c r="E768" s="30" t="s">
        <v>34</v>
      </c>
      <c r="F768" s="31">
        <v>5.230324074074074E-2</v>
      </c>
      <c r="G768" s="31">
        <v>0.45003472222222224</v>
      </c>
      <c r="H768" s="31">
        <v>0.75185185185185188</v>
      </c>
      <c r="I768" s="43">
        <f>H768-G768</f>
        <v>0.30181712962962964</v>
      </c>
      <c r="J768" s="43">
        <v>0.3</v>
      </c>
      <c r="K768" s="2">
        <f>I768-J768</f>
        <v>1.8171296296296546E-3</v>
      </c>
      <c r="L768" s="3"/>
      <c r="M768" s="4">
        <f>F768/I768</f>
        <v>0.17329447405759865</v>
      </c>
      <c r="N768" s="4">
        <f>I768/J768</f>
        <v>1.0060570987654323</v>
      </c>
    </row>
    <row r="769" spans="1:14" x14ac:dyDescent="0.3">
      <c r="A769" s="29">
        <v>46073</v>
      </c>
      <c r="B769" s="8">
        <f>YEAR(A769)</f>
        <v>2026</v>
      </c>
      <c r="C769" s="27" t="str">
        <f>TEXT(A769,"MMMM")</f>
        <v>fevereiro</v>
      </c>
      <c r="D769" s="30" t="s">
        <v>32</v>
      </c>
      <c r="E769" s="30" t="s">
        <v>34</v>
      </c>
      <c r="F769" s="31">
        <v>4.7476851851851853E-2</v>
      </c>
      <c r="G769" s="31">
        <v>0.44927083333333334</v>
      </c>
      <c r="H769" s="31">
        <v>0.75041666666666662</v>
      </c>
      <c r="I769" s="43">
        <f>H769-G769</f>
        <v>0.30114583333333328</v>
      </c>
      <c r="J769" s="43">
        <v>0.3</v>
      </c>
      <c r="K769" s="2">
        <f>I769-J769</f>
        <v>1.1458333333332904E-3</v>
      </c>
      <c r="L769" s="3"/>
      <c r="M769" s="4">
        <f>F769/I769</f>
        <v>0.15765402206080176</v>
      </c>
      <c r="N769" s="4">
        <f>I769/J769</f>
        <v>1.0038194444444444</v>
      </c>
    </row>
    <row r="770" spans="1:14" x14ac:dyDescent="0.3">
      <c r="A770" s="29">
        <v>46073</v>
      </c>
      <c r="B770" s="8">
        <f>YEAR(A770)</f>
        <v>2026</v>
      </c>
      <c r="C770" s="27" t="str">
        <f>TEXT(A770,"MMMM")</f>
        <v>fevereiro</v>
      </c>
      <c r="D770" s="30" t="s">
        <v>28</v>
      </c>
      <c r="E770" s="30" t="s">
        <v>14</v>
      </c>
      <c r="F770" s="31">
        <v>0</v>
      </c>
      <c r="G770" s="31">
        <v>0.43061342592592594</v>
      </c>
      <c r="H770" s="31">
        <v>0.75</v>
      </c>
      <c r="I770" s="43">
        <f>H770-G770</f>
        <v>0.31938657407407406</v>
      </c>
      <c r="J770" s="43">
        <v>0.3</v>
      </c>
      <c r="K770" s="2">
        <f>I770-J770</f>
        <v>1.938657407407407E-2</v>
      </c>
      <c r="L770" s="3"/>
      <c r="M770" s="4">
        <f>F770/I770</f>
        <v>0</v>
      </c>
      <c r="N770" s="4">
        <f>I770/J770</f>
        <v>1.0646219135802468</v>
      </c>
    </row>
    <row r="771" spans="1:14" x14ac:dyDescent="0.3">
      <c r="A771" s="29">
        <v>46073</v>
      </c>
      <c r="B771" s="8">
        <f>YEAR(A771)</f>
        <v>2026</v>
      </c>
      <c r="C771" s="27" t="str">
        <f>TEXT(A771,"MMMM")</f>
        <v>fevereiro</v>
      </c>
      <c r="D771" s="30" t="s">
        <v>29</v>
      </c>
      <c r="E771" s="30" t="s">
        <v>14</v>
      </c>
      <c r="F771" s="31">
        <v>0</v>
      </c>
      <c r="G771" s="31">
        <v>0.33341435185185186</v>
      </c>
      <c r="H771" s="31">
        <v>0.6333333333333333</v>
      </c>
      <c r="I771" s="43">
        <f>H771-G771</f>
        <v>0.29991898148148144</v>
      </c>
      <c r="J771" s="43">
        <v>0.3</v>
      </c>
      <c r="K771" s="2"/>
      <c r="L771" s="3">
        <f>J771-I771</f>
        <v>8.1018518518549687E-5</v>
      </c>
      <c r="M771" s="4">
        <f>F771/I771</f>
        <v>0</v>
      </c>
      <c r="N771" s="4">
        <f>I771/J771</f>
        <v>0.99972993827160483</v>
      </c>
    </row>
    <row r="772" spans="1:14" x14ac:dyDescent="0.3">
      <c r="A772" s="29">
        <v>46076</v>
      </c>
      <c r="B772" s="8">
        <f>YEAR(A772)</f>
        <v>2026</v>
      </c>
      <c r="C772" s="27" t="str">
        <f>TEXT(A772,"MMMM")</f>
        <v>fevereiro</v>
      </c>
      <c r="D772" s="30" t="s">
        <v>16</v>
      </c>
      <c r="E772" s="30" t="s">
        <v>34</v>
      </c>
      <c r="F772" s="31">
        <v>4.2893518518518518E-2</v>
      </c>
      <c r="G772" s="31">
        <v>0.33354166666666668</v>
      </c>
      <c r="H772" s="31">
        <v>0.63351851851851848</v>
      </c>
      <c r="I772" s="43">
        <f>H772-G772</f>
        <v>0.2999768518518518</v>
      </c>
      <c r="J772" s="43">
        <v>0.3</v>
      </c>
      <c r="K772" s="2"/>
      <c r="L772" s="3">
        <f>J772-I772</f>
        <v>2.3148148148188774E-5</v>
      </c>
      <c r="M772" s="4">
        <f>F772/I772</f>
        <v>0.14298942819662014</v>
      </c>
      <c r="N772" s="4">
        <f>I772/J772</f>
        <v>0.99992283950617267</v>
      </c>
    </row>
    <row r="773" spans="1:14" x14ac:dyDescent="0.3">
      <c r="A773" s="29">
        <v>46076</v>
      </c>
      <c r="B773" s="8">
        <f>YEAR(A773)</f>
        <v>2026</v>
      </c>
      <c r="C773" s="27" t="str">
        <f>TEXT(A773,"MMMM")</f>
        <v>fevereiro</v>
      </c>
      <c r="D773" s="30" t="s">
        <v>47</v>
      </c>
      <c r="E773" s="30" t="s">
        <v>21</v>
      </c>
      <c r="F773" s="31">
        <v>4.5879629629629631E-2</v>
      </c>
      <c r="G773" s="31">
        <v>0.50145833333333334</v>
      </c>
      <c r="H773" s="31">
        <v>0.7503009259259259</v>
      </c>
      <c r="I773" s="43">
        <f>H773-G773</f>
        <v>0.24884259259259256</v>
      </c>
      <c r="J773" s="43">
        <v>0.25</v>
      </c>
      <c r="K773" s="2"/>
      <c r="L773" s="3">
        <f>J773-I773</f>
        <v>1.1574074074074403E-3</v>
      </c>
      <c r="M773" s="4">
        <f>F773/I773</f>
        <v>0.18437209302325586</v>
      </c>
      <c r="N773" s="4">
        <f>I773/J773</f>
        <v>0.99537037037037024</v>
      </c>
    </row>
    <row r="774" spans="1:14" x14ac:dyDescent="0.3">
      <c r="A774" s="29">
        <v>46076</v>
      </c>
      <c r="B774" s="8">
        <f>YEAR(A774)</f>
        <v>2026</v>
      </c>
      <c r="C774" s="27" t="str">
        <f>TEXT(A774,"MMMM")</f>
        <v>fevereiro</v>
      </c>
      <c r="D774" s="30" t="s">
        <v>18</v>
      </c>
      <c r="E774" s="30" t="s">
        <v>14</v>
      </c>
      <c r="F774" s="31">
        <v>6.7592592592592591E-3</v>
      </c>
      <c r="G774" s="31">
        <v>0.33333333333333331</v>
      </c>
      <c r="H774" s="31">
        <v>0.63472222222222219</v>
      </c>
      <c r="I774" s="43">
        <f>H774-G774</f>
        <v>0.30138888888888887</v>
      </c>
      <c r="J774" s="43">
        <v>0.3</v>
      </c>
      <c r="K774" s="2">
        <f>I774-J774</f>
        <v>1.388888888888884E-3</v>
      </c>
      <c r="L774" s="3"/>
      <c r="M774" s="4">
        <f>F774/I774</f>
        <v>2.2427035330261136E-2</v>
      </c>
      <c r="N774" s="4">
        <f>I774/J774</f>
        <v>1.0046296296296295</v>
      </c>
    </row>
    <row r="775" spans="1:14" x14ac:dyDescent="0.3">
      <c r="A775" s="29">
        <v>46076</v>
      </c>
      <c r="B775" s="8">
        <f>YEAR(A775)</f>
        <v>2026</v>
      </c>
      <c r="C775" s="27" t="str">
        <f>TEXT(A775,"MMMM")</f>
        <v>fevereiro</v>
      </c>
      <c r="D775" s="30" t="s">
        <v>69</v>
      </c>
      <c r="E775" s="30" t="s">
        <v>34</v>
      </c>
      <c r="F775" s="31">
        <v>4.1111111111111112E-2</v>
      </c>
      <c r="G775" s="31">
        <v>0.34821759259259261</v>
      </c>
      <c r="H775" s="31">
        <v>0.65341435185185182</v>
      </c>
      <c r="I775" s="43">
        <f>H775-G775</f>
        <v>0.30519675925925921</v>
      </c>
      <c r="J775" s="43">
        <v>0.3</v>
      </c>
      <c r="K775" s="2">
        <f>I775-J775</f>
        <v>5.1967592592592204E-3</v>
      </c>
      <c r="L775" s="3"/>
      <c r="M775" s="4">
        <f>F775/I775</f>
        <v>0.13470362926163301</v>
      </c>
      <c r="N775" s="4">
        <f>I775/J775</f>
        <v>1.0173225308641973</v>
      </c>
    </row>
    <row r="776" spans="1:14" x14ac:dyDescent="0.3">
      <c r="A776" s="29">
        <v>46076</v>
      </c>
      <c r="B776" s="8">
        <f>YEAR(A776)</f>
        <v>2026</v>
      </c>
      <c r="C776" s="27" t="str">
        <f>TEXT(A776,"MMMM")</f>
        <v>fevereiro</v>
      </c>
      <c r="D776" s="30" t="s">
        <v>22</v>
      </c>
      <c r="E776" s="30" t="s">
        <v>21</v>
      </c>
      <c r="F776" s="31">
        <v>3.3263888888888891E-2</v>
      </c>
      <c r="G776" s="31">
        <v>0.34193287037037035</v>
      </c>
      <c r="H776" s="31">
        <v>0.63366898148148143</v>
      </c>
      <c r="I776" s="43">
        <f>H776-G776</f>
        <v>0.29173611111111108</v>
      </c>
      <c r="J776" s="43">
        <v>0.3</v>
      </c>
      <c r="K776" s="2"/>
      <c r="L776" s="3">
        <f>J776-I776</f>
        <v>8.2638888888889039E-3</v>
      </c>
      <c r="M776" s="4">
        <f>F776/I776</f>
        <v>0.11402047131635328</v>
      </c>
      <c r="N776" s="4">
        <f>I776/J776</f>
        <v>0.97245370370370365</v>
      </c>
    </row>
    <row r="777" spans="1:14" x14ac:dyDescent="0.3">
      <c r="A777" s="29">
        <v>46076</v>
      </c>
      <c r="B777" s="8">
        <f>YEAR(A777)</f>
        <v>2026</v>
      </c>
      <c r="C777" s="27" t="str">
        <f>TEXT(A777,"MMMM")</f>
        <v>fevereiro</v>
      </c>
      <c r="D777" s="30" t="s">
        <v>33</v>
      </c>
      <c r="E777" s="30" t="s">
        <v>34</v>
      </c>
      <c r="F777" s="31">
        <v>3.4467592592592591E-2</v>
      </c>
      <c r="G777" s="31">
        <v>0.33333333333333331</v>
      </c>
      <c r="H777" s="31">
        <v>0.63361111111111112</v>
      </c>
      <c r="I777" s="43">
        <f>H777-G777</f>
        <v>0.30027777777777781</v>
      </c>
      <c r="J777" s="43">
        <v>0.3</v>
      </c>
      <c r="K777" s="2">
        <f>I777-J777</f>
        <v>2.777777777778212E-4</v>
      </c>
      <c r="L777" s="3"/>
      <c r="M777" s="4">
        <f>F777/I777</f>
        <v>0.11478569226025284</v>
      </c>
      <c r="N777" s="4">
        <f>I777/J777</f>
        <v>1.000925925925926</v>
      </c>
    </row>
    <row r="778" spans="1:14" x14ac:dyDescent="0.3">
      <c r="A778" s="29">
        <v>46076</v>
      </c>
      <c r="B778" s="8">
        <f>YEAR(A778)</f>
        <v>2026</v>
      </c>
      <c r="C778" s="27" t="str">
        <f>TEXT(A778,"MMMM")</f>
        <v>fevereiro</v>
      </c>
      <c r="D778" s="30" t="s">
        <v>24</v>
      </c>
      <c r="E778" s="30" t="s">
        <v>14</v>
      </c>
      <c r="F778" s="31">
        <v>6.5624999999999998E-3</v>
      </c>
      <c r="G778" s="31">
        <v>0.45069444444444445</v>
      </c>
      <c r="H778" s="31">
        <v>0.75074074074074071</v>
      </c>
      <c r="I778" s="43">
        <f>H778-G778</f>
        <v>0.30004629629629626</v>
      </c>
      <c r="J778" s="43">
        <v>0.3</v>
      </c>
      <c r="K778" s="2">
        <f>I778-J778</f>
        <v>4.6296296296266526E-5</v>
      </c>
      <c r="L778" s="3"/>
      <c r="M778" s="4">
        <f>F778/I778</f>
        <v>2.1871624749267092E-2</v>
      </c>
      <c r="N778" s="4">
        <f>I778/J778</f>
        <v>1.0001543209876542</v>
      </c>
    </row>
    <row r="779" spans="1:14" x14ac:dyDescent="0.3">
      <c r="A779" s="29">
        <v>46076</v>
      </c>
      <c r="B779" s="8">
        <f>YEAR(A779)</f>
        <v>2026</v>
      </c>
      <c r="C779" s="27" t="str">
        <f>TEXT(A779,"MMMM")</f>
        <v>fevereiro</v>
      </c>
      <c r="D779" s="30" t="s">
        <v>26</v>
      </c>
      <c r="E779" s="30" t="s">
        <v>15</v>
      </c>
      <c r="F779" s="31">
        <v>3.5000000000000003E-2</v>
      </c>
      <c r="G779" s="31">
        <v>0.33527777777777779</v>
      </c>
      <c r="H779" s="31">
        <v>0.6355439814814815</v>
      </c>
      <c r="I779" s="43">
        <f>H779-G779</f>
        <v>0.30026620370370372</v>
      </c>
      <c r="J779" s="43">
        <v>0.3</v>
      </c>
      <c r="K779" s="2">
        <f>I779-J779</f>
        <v>2.6620370370372681E-4</v>
      </c>
      <c r="L779" s="3"/>
      <c r="M779" s="4">
        <f>F779/I779</f>
        <v>0.11656323478394943</v>
      </c>
      <c r="N779" s="4">
        <f>I779/J779</f>
        <v>1.0008873456790124</v>
      </c>
    </row>
    <row r="780" spans="1:14" x14ac:dyDescent="0.3">
      <c r="A780" s="29">
        <v>46076</v>
      </c>
      <c r="B780" s="8">
        <f>YEAR(A780)</f>
        <v>2026</v>
      </c>
      <c r="C780" s="27" t="str">
        <f>TEXT(A780,"MMMM")</f>
        <v>fevereiro</v>
      </c>
      <c r="D780" s="30" t="s">
        <v>27</v>
      </c>
      <c r="E780" s="30" t="s">
        <v>34</v>
      </c>
      <c r="F780" s="31">
        <v>3.6909722222222219E-2</v>
      </c>
      <c r="G780" s="31">
        <v>0.33354166666666668</v>
      </c>
      <c r="H780" s="31">
        <v>0.63473379629629634</v>
      </c>
      <c r="I780" s="43">
        <f>H780-G780</f>
        <v>0.30119212962962966</v>
      </c>
      <c r="J780" s="43">
        <v>0.3</v>
      </c>
      <c r="K780" s="2">
        <f>I780-J780</f>
        <v>1.192129629629668E-3</v>
      </c>
      <c r="L780" s="3"/>
      <c r="M780" s="4">
        <f>F780/I780</f>
        <v>0.12254544057180185</v>
      </c>
      <c r="N780" s="4">
        <f>I780/J780</f>
        <v>1.0039737654320988</v>
      </c>
    </row>
    <row r="781" spans="1:14" x14ac:dyDescent="0.3">
      <c r="A781" s="29">
        <v>46076</v>
      </c>
      <c r="B781" s="8">
        <f>YEAR(A781)</f>
        <v>2026</v>
      </c>
      <c r="C781" s="27" t="str">
        <f>TEXT(A781,"MMMM")</f>
        <v>fevereiro</v>
      </c>
      <c r="D781" s="30" t="s">
        <v>68</v>
      </c>
      <c r="E781" s="30" t="s">
        <v>34</v>
      </c>
      <c r="F781" s="31">
        <v>5.3819444444444448E-2</v>
      </c>
      <c r="G781" s="31">
        <v>0.45221064814814815</v>
      </c>
      <c r="H781" s="31">
        <v>0.75050925925925926</v>
      </c>
      <c r="I781" s="43">
        <f>H781-G781</f>
        <v>0.29829861111111111</v>
      </c>
      <c r="J781" s="43">
        <v>0.3</v>
      </c>
      <c r="K781" s="2"/>
      <c r="L781" s="3">
        <f>J781-I781</f>
        <v>1.7013888888888773E-3</v>
      </c>
      <c r="M781" s="4">
        <f>F781/I781</f>
        <v>0.18042137120242116</v>
      </c>
      <c r="N781" s="4">
        <f>I781/J781</f>
        <v>0.99432870370370374</v>
      </c>
    </row>
    <row r="782" spans="1:14" x14ac:dyDescent="0.3">
      <c r="A782" s="29">
        <v>46076</v>
      </c>
      <c r="B782" s="8">
        <f>YEAR(A782)</f>
        <v>2026</v>
      </c>
      <c r="C782" s="27" t="str">
        <f>TEXT(A782,"MMMM")</f>
        <v>fevereiro</v>
      </c>
      <c r="D782" s="30" t="s">
        <v>32</v>
      </c>
      <c r="E782" s="30" t="s">
        <v>34</v>
      </c>
      <c r="F782" s="31">
        <v>4.2488425925925923E-2</v>
      </c>
      <c r="G782" s="31">
        <v>0.45140046296296299</v>
      </c>
      <c r="H782" s="31">
        <v>0.75063657407407403</v>
      </c>
      <c r="I782" s="43">
        <f>H782-G782</f>
        <v>0.29923611111111104</v>
      </c>
      <c r="J782" s="43">
        <v>0.3</v>
      </c>
      <c r="K782" s="2"/>
      <c r="L782" s="3">
        <f>J782-I782</f>
        <v>7.6388888888895279E-4</v>
      </c>
      <c r="M782" s="4">
        <f>F782/I782</f>
        <v>0.14198963409917231</v>
      </c>
      <c r="N782" s="4">
        <f>I782/J782</f>
        <v>0.99745370370370345</v>
      </c>
    </row>
    <row r="783" spans="1:14" x14ac:dyDescent="0.3">
      <c r="A783" s="29">
        <v>46076</v>
      </c>
      <c r="B783" s="8">
        <f>YEAR(A783)</f>
        <v>2026</v>
      </c>
      <c r="C783" s="27" t="str">
        <f>TEXT(A783,"MMMM")</f>
        <v>fevereiro</v>
      </c>
      <c r="D783" s="30" t="s">
        <v>28</v>
      </c>
      <c r="E783" s="30" t="s">
        <v>14</v>
      </c>
      <c r="F783" s="31">
        <v>4.9189814814814816E-3</v>
      </c>
      <c r="G783" s="31">
        <v>0.45</v>
      </c>
      <c r="H783" s="31">
        <v>0.7514467592592593</v>
      </c>
      <c r="I783" s="43">
        <f>H783-G783</f>
        <v>0.30144675925925929</v>
      </c>
      <c r="J783" s="43">
        <v>0.3</v>
      </c>
      <c r="K783" s="2">
        <f>I783-J783</f>
        <v>1.4467592592593004E-3</v>
      </c>
      <c r="L783" s="3"/>
      <c r="M783" s="4">
        <f>F783/I783</f>
        <v>1.6317911307352658E-2</v>
      </c>
      <c r="N783" s="4">
        <f>I783/J783</f>
        <v>1.0048225308641976</v>
      </c>
    </row>
    <row r="784" spans="1:14" x14ac:dyDescent="0.3">
      <c r="A784" s="29">
        <v>46076</v>
      </c>
      <c r="B784" s="8">
        <f>YEAR(A784)</f>
        <v>2026</v>
      </c>
      <c r="C784" s="27" t="str">
        <f>TEXT(A784,"MMMM")</f>
        <v>fevereiro</v>
      </c>
      <c r="D784" s="30" t="s">
        <v>29</v>
      </c>
      <c r="E784" s="30" t="s">
        <v>14</v>
      </c>
      <c r="F784" s="31">
        <v>0</v>
      </c>
      <c r="G784" s="31">
        <v>0.33341435185185186</v>
      </c>
      <c r="H784" s="31">
        <v>0.65287037037037032</v>
      </c>
      <c r="I784" s="43">
        <f>H784-G784</f>
        <v>0.31945601851851846</v>
      </c>
      <c r="J784" s="43">
        <v>0.3</v>
      </c>
      <c r="K784" s="2">
        <f>I784-J784</f>
        <v>1.945601851851847E-2</v>
      </c>
      <c r="L784" s="3"/>
      <c r="M784" s="4">
        <f>F784/I784</f>
        <v>0</v>
      </c>
      <c r="N784" s="4">
        <f>I784/J784</f>
        <v>1.0648533950617283</v>
      </c>
    </row>
    <row r="785" spans="1:14" x14ac:dyDescent="0.3">
      <c r="A785" s="29">
        <v>46077</v>
      </c>
      <c r="B785" s="8">
        <f>YEAR(A785)</f>
        <v>2026</v>
      </c>
      <c r="C785" s="27" t="str">
        <f>TEXT(A785,"MMMM")</f>
        <v>fevereiro</v>
      </c>
      <c r="D785" s="30" t="s">
        <v>16</v>
      </c>
      <c r="E785" s="30" t="s">
        <v>34</v>
      </c>
      <c r="F785" s="31">
        <v>5.8356481481481481E-2</v>
      </c>
      <c r="G785" s="31">
        <v>0.33449074074074076</v>
      </c>
      <c r="H785" s="31">
        <v>0.63968749999999996</v>
      </c>
      <c r="I785" s="43">
        <f>H785-G785</f>
        <v>0.30519675925925921</v>
      </c>
      <c r="J785" s="43">
        <v>0.3</v>
      </c>
      <c r="K785" s="2">
        <f>I785-J785</f>
        <v>5.1967592592592204E-3</v>
      </c>
      <c r="L785" s="3"/>
      <c r="M785" s="4">
        <f>F785/I785</f>
        <v>0.19120937464446891</v>
      </c>
      <c r="N785" s="4">
        <f>I785/J785</f>
        <v>1.0173225308641973</v>
      </c>
    </row>
    <row r="786" spans="1:14" x14ac:dyDescent="0.3">
      <c r="A786" s="29">
        <v>46077</v>
      </c>
      <c r="B786" s="8">
        <f>YEAR(A786)</f>
        <v>2026</v>
      </c>
      <c r="C786" s="27" t="str">
        <f>TEXT(A786,"MMMM")</f>
        <v>fevereiro</v>
      </c>
      <c r="D786" s="30" t="s">
        <v>47</v>
      </c>
      <c r="E786" s="30" t="s">
        <v>21</v>
      </c>
      <c r="F786" s="31">
        <v>4.9664351851851848E-2</v>
      </c>
      <c r="G786" s="31">
        <v>0.50969907407407411</v>
      </c>
      <c r="H786" s="31">
        <v>0.75015046296296295</v>
      </c>
      <c r="I786" s="43">
        <f>H786-G786</f>
        <v>0.24045138888888884</v>
      </c>
      <c r="J786" s="43">
        <v>0.25</v>
      </c>
      <c r="K786" s="2"/>
      <c r="L786" s="3">
        <f>J786-I786</f>
        <v>9.5486111111111605E-3</v>
      </c>
      <c r="M786" s="4">
        <f>F786/I786</f>
        <v>0.20654632972322506</v>
      </c>
      <c r="N786" s="4">
        <f>I786/J786</f>
        <v>0.96180555555555536</v>
      </c>
    </row>
    <row r="787" spans="1:14" x14ac:dyDescent="0.3">
      <c r="A787" s="29">
        <v>46077</v>
      </c>
      <c r="B787" s="8">
        <f>YEAR(A787)</f>
        <v>2026</v>
      </c>
      <c r="C787" s="27" t="str">
        <f>TEXT(A787,"MMMM")</f>
        <v>fevereiro</v>
      </c>
      <c r="D787" s="30" t="s">
        <v>18</v>
      </c>
      <c r="E787" s="30" t="s">
        <v>14</v>
      </c>
      <c r="F787" s="31">
        <v>4.4282407407407409E-2</v>
      </c>
      <c r="G787" s="31">
        <v>0.33524305555555556</v>
      </c>
      <c r="H787" s="31">
        <v>0.63540509259259259</v>
      </c>
      <c r="I787" s="43">
        <f>H787-G787</f>
        <v>0.30016203703703703</v>
      </c>
      <c r="J787" s="43">
        <v>0.3</v>
      </c>
      <c r="K787" s="2">
        <f>I787-J787</f>
        <v>1.6203703703704386E-4</v>
      </c>
      <c r="L787" s="3"/>
      <c r="M787" s="4">
        <f>F787/I787</f>
        <v>0.14752834117374874</v>
      </c>
      <c r="N787" s="4">
        <f>I787/J787</f>
        <v>1.0005401234567901</v>
      </c>
    </row>
    <row r="788" spans="1:14" x14ac:dyDescent="0.3">
      <c r="A788" s="29">
        <v>46077</v>
      </c>
      <c r="B788" s="8">
        <f>YEAR(A788)</f>
        <v>2026</v>
      </c>
      <c r="C788" s="27" t="str">
        <f>TEXT(A788,"MMMM")</f>
        <v>fevereiro</v>
      </c>
      <c r="D788" s="30" t="s">
        <v>69</v>
      </c>
      <c r="E788" s="30" t="s">
        <v>34</v>
      </c>
      <c r="F788" s="31">
        <v>5.6284722222222222E-2</v>
      </c>
      <c r="G788" s="31">
        <v>0.34512731481481479</v>
      </c>
      <c r="H788" s="31">
        <v>0.64053240740740736</v>
      </c>
      <c r="I788" s="43">
        <f>H788-G788</f>
        <v>0.29540509259259257</v>
      </c>
      <c r="J788" s="43">
        <v>0.3</v>
      </c>
      <c r="K788" s="2"/>
      <c r="L788" s="3">
        <f>J788-I788</f>
        <v>4.5949074074074225E-3</v>
      </c>
      <c r="M788" s="4">
        <f>F788/I788</f>
        <v>0.19053402813148926</v>
      </c>
      <c r="N788" s="4">
        <f>I788/J788</f>
        <v>0.98468364197530855</v>
      </c>
    </row>
    <row r="789" spans="1:14" x14ac:dyDescent="0.3">
      <c r="A789" s="29">
        <v>46077</v>
      </c>
      <c r="B789" s="8">
        <f>YEAR(A789)</f>
        <v>2026</v>
      </c>
      <c r="C789" s="27" t="str">
        <f>TEXT(A789,"MMMM")</f>
        <v>fevereiro</v>
      </c>
      <c r="D789" s="30" t="s">
        <v>22</v>
      </c>
      <c r="E789" s="30" t="s">
        <v>21</v>
      </c>
      <c r="F789" s="31">
        <v>3.6412037037037034E-2</v>
      </c>
      <c r="G789" s="31">
        <v>0.33824074074074073</v>
      </c>
      <c r="H789" s="31">
        <v>0.6335763888888889</v>
      </c>
      <c r="I789" s="43">
        <f>H789-G789</f>
        <v>0.29533564814814817</v>
      </c>
      <c r="J789" s="43">
        <v>0.3</v>
      </c>
      <c r="K789" s="2"/>
      <c r="L789" s="3">
        <f>J789-I789</f>
        <v>4.6643518518518223E-3</v>
      </c>
      <c r="M789" s="4">
        <f>F789/I789</f>
        <v>0.12329035544930829</v>
      </c>
      <c r="N789" s="4">
        <f>I789/J789</f>
        <v>0.98445216049382722</v>
      </c>
    </row>
    <row r="790" spans="1:14" x14ac:dyDescent="0.3">
      <c r="A790" s="29">
        <v>46077</v>
      </c>
      <c r="B790" s="8">
        <f>YEAR(A790)</f>
        <v>2026</v>
      </c>
      <c r="C790" s="27" t="str">
        <f>TEXT(A790,"MMMM")</f>
        <v>fevereiro</v>
      </c>
      <c r="D790" s="30" t="s">
        <v>33</v>
      </c>
      <c r="E790" s="30" t="s">
        <v>34</v>
      </c>
      <c r="F790" s="31">
        <v>3.619212962962963E-2</v>
      </c>
      <c r="G790" s="31">
        <v>0.33378472222222222</v>
      </c>
      <c r="H790" s="31">
        <v>0.63380787037037034</v>
      </c>
      <c r="I790" s="43">
        <f>H790-G790</f>
        <v>0.30002314814814812</v>
      </c>
      <c r="J790" s="43">
        <v>0.3</v>
      </c>
      <c r="K790" s="2">
        <f>I790-J790</f>
        <v>2.3148148148133263E-5</v>
      </c>
      <c r="L790" s="3"/>
      <c r="M790" s="4">
        <f>F790/I790</f>
        <v>0.12063112414165575</v>
      </c>
      <c r="N790" s="4">
        <f>I790/J790</f>
        <v>1.0000771604938272</v>
      </c>
    </row>
    <row r="791" spans="1:14" x14ac:dyDescent="0.3">
      <c r="A791" s="29">
        <v>46077</v>
      </c>
      <c r="B791" s="8">
        <f>YEAR(A791)</f>
        <v>2026</v>
      </c>
      <c r="C791" s="27" t="str">
        <f>TEXT(A791,"MMMM")</f>
        <v>fevereiro</v>
      </c>
      <c r="D791" s="30" t="s">
        <v>24</v>
      </c>
      <c r="E791" s="30" t="s">
        <v>14</v>
      </c>
      <c r="F791" s="31">
        <v>3.8402777777777779E-2</v>
      </c>
      <c r="G791" s="31">
        <v>0.45017361111111109</v>
      </c>
      <c r="H791" s="31">
        <v>0.75211805555555555</v>
      </c>
      <c r="I791" s="43">
        <f>H791-G791</f>
        <v>0.30194444444444446</v>
      </c>
      <c r="J791" s="43">
        <v>0.3</v>
      </c>
      <c r="K791" s="2">
        <f>I791-J791</f>
        <v>1.9444444444444708E-3</v>
      </c>
      <c r="L791" s="3"/>
      <c r="M791" s="4">
        <f>F791/I791</f>
        <v>0.12718491260349585</v>
      </c>
      <c r="N791" s="4">
        <f>I791/J791</f>
        <v>1.0064814814814815</v>
      </c>
    </row>
    <row r="792" spans="1:14" x14ac:dyDescent="0.3">
      <c r="A792" s="29">
        <v>46077</v>
      </c>
      <c r="B792" s="8">
        <f>YEAR(A792)</f>
        <v>2026</v>
      </c>
      <c r="C792" s="27" t="str">
        <f>TEXT(A792,"MMMM")</f>
        <v>fevereiro</v>
      </c>
      <c r="D792" s="30" t="s">
        <v>26</v>
      </c>
      <c r="E792" s="30" t="s">
        <v>15</v>
      </c>
      <c r="F792" s="31">
        <v>3.363425925925926E-2</v>
      </c>
      <c r="G792" s="31">
        <v>0.33333333333333331</v>
      </c>
      <c r="H792" s="31">
        <v>0.63749999999999996</v>
      </c>
      <c r="I792" s="43">
        <f>H792-G792</f>
        <v>0.30416666666666664</v>
      </c>
      <c r="J792" s="43">
        <v>0.3</v>
      </c>
      <c r="K792" s="2">
        <f>I792-J792</f>
        <v>4.1666666666666519E-3</v>
      </c>
      <c r="L792" s="3"/>
      <c r="M792" s="4">
        <f>F792/I792</f>
        <v>0.11057838660578388</v>
      </c>
      <c r="N792" s="4">
        <f>I792/J792</f>
        <v>1.0138888888888888</v>
      </c>
    </row>
    <row r="793" spans="1:14" x14ac:dyDescent="0.3">
      <c r="A793" s="29">
        <v>46077</v>
      </c>
      <c r="B793" s="8">
        <f>YEAR(A793)</f>
        <v>2026</v>
      </c>
      <c r="C793" s="27" t="str">
        <f>TEXT(A793,"MMMM")</f>
        <v>fevereiro</v>
      </c>
      <c r="D793" s="30" t="s">
        <v>27</v>
      </c>
      <c r="E793" s="30" t="s">
        <v>34</v>
      </c>
      <c r="F793" s="31">
        <v>3.0451388888888889E-2</v>
      </c>
      <c r="G793" s="31">
        <v>0.33333333333333331</v>
      </c>
      <c r="H793" s="31">
        <v>0.63399305555555552</v>
      </c>
      <c r="I793" s="43">
        <f>H793-G793</f>
        <v>0.3006597222222222</v>
      </c>
      <c r="J793" s="43">
        <v>0.3</v>
      </c>
      <c r="K793" s="2">
        <f>I793-J793</f>
        <v>6.5972222222221433E-4</v>
      </c>
      <c r="L793" s="3"/>
      <c r="M793" s="4">
        <f>F793/I793</f>
        <v>0.10128190322208108</v>
      </c>
      <c r="N793" s="4">
        <f>I793/J793</f>
        <v>1.002199074074074</v>
      </c>
    </row>
    <row r="794" spans="1:14" x14ac:dyDescent="0.3">
      <c r="A794" s="29">
        <v>46077</v>
      </c>
      <c r="B794" s="8">
        <f>YEAR(A794)</f>
        <v>2026</v>
      </c>
      <c r="C794" s="27" t="str">
        <f>TEXT(A794,"MMMM")</f>
        <v>fevereiro</v>
      </c>
      <c r="D794" s="30" t="s">
        <v>32</v>
      </c>
      <c r="E794" s="30" t="s">
        <v>34</v>
      </c>
      <c r="F794" s="31">
        <v>4.4305555555555556E-2</v>
      </c>
      <c r="G794" s="31">
        <v>0.44976851851851851</v>
      </c>
      <c r="H794" s="31">
        <v>0.75467592592592592</v>
      </c>
      <c r="I794" s="43">
        <f>H794-G794</f>
        <v>0.3049074074074074</v>
      </c>
      <c r="J794" s="43">
        <v>0.3</v>
      </c>
      <c r="K794" s="2">
        <f>I794-J794</f>
        <v>4.9074074074074159E-3</v>
      </c>
      <c r="L794" s="3"/>
      <c r="M794" s="4">
        <f>F794/I794</f>
        <v>0.14530822957789249</v>
      </c>
      <c r="N794" s="4">
        <f>I794/J794</f>
        <v>1.0163580246913582</v>
      </c>
    </row>
    <row r="795" spans="1:14" x14ac:dyDescent="0.3">
      <c r="A795" s="29">
        <v>46077</v>
      </c>
      <c r="B795" s="8">
        <f>YEAR(A795)</f>
        <v>2026</v>
      </c>
      <c r="C795" s="27" t="str">
        <f>TEXT(A795,"MMMM")</f>
        <v>fevereiro</v>
      </c>
      <c r="D795" s="30" t="s">
        <v>28</v>
      </c>
      <c r="E795" s="30" t="s">
        <v>14</v>
      </c>
      <c r="F795" s="31">
        <v>4.8113425925925928E-2</v>
      </c>
      <c r="G795" s="31">
        <v>0.46534722222222225</v>
      </c>
      <c r="H795" s="31">
        <v>0.75165509259259256</v>
      </c>
      <c r="I795" s="43">
        <f>H795-G795</f>
        <v>0.28630787037037031</v>
      </c>
      <c r="J795" s="43">
        <v>0.3</v>
      </c>
      <c r="K795" s="2"/>
      <c r="L795" s="3">
        <f>J795-I795</f>
        <v>1.3692129629629679E-2</v>
      </c>
      <c r="M795" s="4">
        <f>F795/I795</f>
        <v>0.16804786352427542</v>
      </c>
      <c r="N795" s="4">
        <f>I795/J795</f>
        <v>0.95435956790123444</v>
      </c>
    </row>
    <row r="796" spans="1:14" x14ac:dyDescent="0.3">
      <c r="A796" s="29">
        <v>46077</v>
      </c>
      <c r="B796" s="8">
        <f>YEAR(A796)</f>
        <v>2026</v>
      </c>
      <c r="C796" s="27" t="str">
        <f>TEXT(A796,"MMMM")</f>
        <v>fevereiro</v>
      </c>
      <c r="D796" s="30" t="s">
        <v>29</v>
      </c>
      <c r="E796" s="30" t="s">
        <v>14</v>
      </c>
      <c r="F796" s="31">
        <v>6.0243055555555557E-2</v>
      </c>
      <c r="G796" s="31">
        <v>0.34416666666666668</v>
      </c>
      <c r="H796" s="31">
        <v>0.63415509259259262</v>
      </c>
      <c r="I796" s="43">
        <f>H796-G796</f>
        <v>0.28998842592592594</v>
      </c>
      <c r="J796" s="43">
        <v>0.3</v>
      </c>
      <c r="K796" s="2"/>
      <c r="L796" s="3">
        <f>J796-I796</f>
        <v>1.0011574074074048E-2</v>
      </c>
      <c r="M796" s="4">
        <f>F796/I796</f>
        <v>0.20774296547595289</v>
      </c>
      <c r="N796" s="4">
        <f>I796/J796</f>
        <v>0.96662808641975317</v>
      </c>
    </row>
    <row r="797" spans="1:14" x14ac:dyDescent="0.3">
      <c r="A797" s="29">
        <v>46078</v>
      </c>
      <c r="B797" s="8">
        <f>YEAR(A797)</f>
        <v>2026</v>
      </c>
      <c r="C797" s="27" t="str">
        <f>TEXT(A797,"MMMM")</f>
        <v>fevereiro</v>
      </c>
      <c r="D797" s="30" t="s">
        <v>47</v>
      </c>
      <c r="E797" s="30" t="s">
        <v>21</v>
      </c>
      <c r="F797" s="31">
        <v>4.2592592592592592E-2</v>
      </c>
      <c r="G797" s="31">
        <v>0.5401273148148148</v>
      </c>
      <c r="H797" s="31">
        <v>0.75026620370370367</v>
      </c>
      <c r="I797" s="43">
        <f>H797-G797</f>
        <v>0.21013888888888888</v>
      </c>
      <c r="J797" s="43">
        <v>0.25</v>
      </c>
      <c r="K797" s="2"/>
      <c r="L797" s="3">
        <f>J797-I797</f>
        <v>3.9861111111111125E-2</v>
      </c>
      <c r="M797" s="4">
        <f>F797/I797</f>
        <v>0.20268781669971361</v>
      </c>
      <c r="N797" s="4">
        <f>I797/J797</f>
        <v>0.8405555555555555</v>
      </c>
    </row>
    <row r="798" spans="1:14" x14ac:dyDescent="0.3">
      <c r="A798" s="29">
        <v>46078</v>
      </c>
      <c r="B798" s="8">
        <f>YEAR(A798)</f>
        <v>2026</v>
      </c>
      <c r="C798" s="27" t="str">
        <f>TEXT(A798,"MMMM")</f>
        <v>fevereiro</v>
      </c>
      <c r="D798" s="30" t="s">
        <v>18</v>
      </c>
      <c r="E798" s="30" t="s">
        <v>14</v>
      </c>
      <c r="F798" s="31">
        <v>3.4756944444444444E-2</v>
      </c>
      <c r="G798" s="31">
        <v>0.35814814814814816</v>
      </c>
      <c r="H798" s="31">
        <v>0.6404050925925926</v>
      </c>
      <c r="I798" s="43">
        <f>H798-G798</f>
        <v>0.28225694444444444</v>
      </c>
      <c r="J798" s="43">
        <v>0.3</v>
      </c>
      <c r="K798" s="2"/>
      <c r="L798" s="3">
        <f>J798-I798</f>
        <v>1.7743055555555554E-2</v>
      </c>
      <c r="M798" s="4">
        <f>F798/I798</f>
        <v>0.12313937753721245</v>
      </c>
      <c r="N798" s="4">
        <f>I798/J798</f>
        <v>0.94085648148148149</v>
      </c>
    </row>
    <row r="799" spans="1:14" x14ac:dyDescent="0.3">
      <c r="A799" s="29">
        <v>46078</v>
      </c>
      <c r="B799" s="8">
        <f>YEAR(A799)</f>
        <v>2026</v>
      </c>
      <c r="C799" s="27" t="str">
        <f>TEXT(A799,"MMMM")</f>
        <v>fevereiro</v>
      </c>
      <c r="D799" s="30" t="s">
        <v>69</v>
      </c>
      <c r="E799" s="30" t="s">
        <v>34</v>
      </c>
      <c r="F799" s="31">
        <v>7.481481481481482E-2</v>
      </c>
      <c r="G799" s="31">
        <v>0.35848379629629629</v>
      </c>
      <c r="H799" s="31">
        <v>0.63974537037037038</v>
      </c>
      <c r="I799" s="43">
        <f>H799-G799</f>
        <v>0.28126157407407409</v>
      </c>
      <c r="J799" s="43">
        <v>0.3</v>
      </c>
      <c r="K799" s="2"/>
      <c r="L799" s="3">
        <f>J799-I799</f>
        <v>1.8738425925925895E-2</v>
      </c>
      <c r="M799" s="4">
        <f>F799/I799</f>
        <v>0.26599728406238426</v>
      </c>
      <c r="N799" s="4">
        <f>I799/J799</f>
        <v>0.93753858024691372</v>
      </c>
    </row>
    <row r="800" spans="1:14" x14ac:dyDescent="0.3">
      <c r="A800" s="29">
        <v>46078</v>
      </c>
      <c r="B800" s="8">
        <f>YEAR(A800)</f>
        <v>2026</v>
      </c>
      <c r="C800" s="27" t="str">
        <f>TEXT(A800,"MMMM")</f>
        <v>fevereiro</v>
      </c>
      <c r="D800" s="30" t="s">
        <v>22</v>
      </c>
      <c r="E800" s="30" t="s">
        <v>21</v>
      </c>
      <c r="F800" s="31">
        <v>3.457175925925926E-2</v>
      </c>
      <c r="G800" s="31">
        <v>0.34576388888888887</v>
      </c>
      <c r="H800" s="31">
        <v>0.63930555555555557</v>
      </c>
      <c r="I800" s="43">
        <f>H800-G800</f>
        <v>0.2935416666666667</v>
      </c>
      <c r="J800" s="43">
        <v>0.3</v>
      </c>
      <c r="K800" s="2"/>
      <c r="L800" s="3">
        <f>J800-I800</f>
        <v>6.4583333333332882E-3</v>
      </c>
      <c r="M800" s="4">
        <f>F800/I800</f>
        <v>0.11777462345240911</v>
      </c>
      <c r="N800" s="4">
        <f>I800/J800</f>
        <v>0.97847222222222241</v>
      </c>
    </row>
    <row r="801" spans="1:14" x14ac:dyDescent="0.3">
      <c r="A801" s="29">
        <v>46078</v>
      </c>
      <c r="B801" s="8">
        <f>YEAR(A801)</f>
        <v>2026</v>
      </c>
      <c r="C801" s="27" t="str">
        <f>TEXT(A801,"MMMM")</f>
        <v>fevereiro</v>
      </c>
      <c r="D801" s="30" t="s">
        <v>33</v>
      </c>
      <c r="E801" s="30" t="s">
        <v>34</v>
      </c>
      <c r="F801" s="31">
        <v>6.3043981481481479E-2</v>
      </c>
      <c r="G801" s="31">
        <v>0.33379629629629631</v>
      </c>
      <c r="H801" s="31">
        <v>0.63356481481481486</v>
      </c>
      <c r="I801" s="43">
        <f>H801-G801</f>
        <v>0.29976851851851855</v>
      </c>
      <c r="J801" s="43">
        <v>0.3</v>
      </c>
      <c r="K801" s="2"/>
      <c r="L801" s="3">
        <f>J801-I801</f>
        <v>2.3148148148144365E-4</v>
      </c>
      <c r="M801" s="4">
        <f>F801/I801</f>
        <v>0.21030888030888029</v>
      </c>
      <c r="N801" s="4">
        <f>I801/J801</f>
        <v>0.99922839506172856</v>
      </c>
    </row>
    <row r="802" spans="1:14" x14ac:dyDescent="0.3">
      <c r="A802" s="29">
        <v>46078</v>
      </c>
      <c r="B802" s="8">
        <f>YEAR(A802)</f>
        <v>2026</v>
      </c>
      <c r="C802" s="27" t="str">
        <f>TEXT(A802,"MMMM")</f>
        <v>fevereiro</v>
      </c>
      <c r="D802" s="30" t="s">
        <v>24</v>
      </c>
      <c r="E802" s="30" t="s">
        <v>14</v>
      </c>
      <c r="F802" s="31">
        <v>7.5219907407407402E-2</v>
      </c>
      <c r="G802" s="31">
        <v>0.44972222222222225</v>
      </c>
      <c r="H802" s="31">
        <v>0.75130787037037039</v>
      </c>
      <c r="I802" s="43">
        <f>H802-G802</f>
        <v>0.30158564814814814</v>
      </c>
      <c r="J802" s="43">
        <v>0.3</v>
      </c>
      <c r="K802" s="2">
        <f>I802-J802</f>
        <v>1.5856481481481555E-3</v>
      </c>
      <c r="L802" s="3"/>
      <c r="M802" s="4">
        <f>F802/I802</f>
        <v>0.24941474459838045</v>
      </c>
      <c r="N802" s="4">
        <f>I802/J802</f>
        <v>1.0052854938271605</v>
      </c>
    </row>
    <row r="803" spans="1:14" x14ac:dyDescent="0.3">
      <c r="A803" s="29">
        <v>46078</v>
      </c>
      <c r="B803" s="8">
        <f>YEAR(A803)</f>
        <v>2026</v>
      </c>
      <c r="C803" s="27" t="str">
        <f>TEXT(A803,"MMMM")</f>
        <v>fevereiro</v>
      </c>
      <c r="D803" s="30" t="s">
        <v>26</v>
      </c>
      <c r="E803" s="30" t="s">
        <v>15</v>
      </c>
      <c r="F803" s="31">
        <v>4.0833333333333333E-2</v>
      </c>
      <c r="G803" s="31">
        <v>0.33355324074074072</v>
      </c>
      <c r="H803" s="31">
        <v>0.63581018518518517</v>
      </c>
      <c r="I803" s="43">
        <f>H803-G803</f>
        <v>0.30225694444444445</v>
      </c>
      <c r="J803" s="43">
        <v>0.3</v>
      </c>
      <c r="K803" s="2">
        <f>I803-J803</f>
        <v>2.2569444444444642E-3</v>
      </c>
      <c r="L803" s="3"/>
      <c r="M803" s="4">
        <f>F803/I803</f>
        <v>0.13509477311889717</v>
      </c>
      <c r="N803" s="4">
        <f>I803/J803</f>
        <v>1.0075231481481481</v>
      </c>
    </row>
    <row r="804" spans="1:14" x14ac:dyDescent="0.3">
      <c r="A804" s="29">
        <v>46078</v>
      </c>
      <c r="B804" s="8">
        <f>YEAR(A804)</f>
        <v>2026</v>
      </c>
      <c r="C804" s="27" t="str">
        <f>TEXT(A804,"MMMM")</f>
        <v>fevereiro</v>
      </c>
      <c r="D804" s="30" t="s">
        <v>27</v>
      </c>
      <c r="E804" s="30" t="s">
        <v>34</v>
      </c>
      <c r="F804" s="31">
        <v>3.2638888888888891E-2</v>
      </c>
      <c r="G804" s="31">
        <v>0.33377314814814812</v>
      </c>
      <c r="H804" s="31">
        <v>0.63778935185185182</v>
      </c>
      <c r="I804" s="43">
        <f>H804-G804</f>
        <v>0.30401620370370369</v>
      </c>
      <c r="J804" s="43">
        <v>0.3</v>
      </c>
      <c r="K804" s="2">
        <f>I804-J804</f>
        <v>4.0162037037037024E-3</v>
      </c>
      <c r="L804" s="3"/>
      <c r="M804" s="4">
        <f>F804/I804</f>
        <v>0.10735904366695856</v>
      </c>
      <c r="N804" s="4">
        <f>I804/J804</f>
        <v>1.0133873456790123</v>
      </c>
    </row>
    <row r="805" spans="1:14" x14ac:dyDescent="0.3">
      <c r="A805" s="29">
        <v>46078</v>
      </c>
      <c r="B805" s="8">
        <f>YEAR(A805)</f>
        <v>2026</v>
      </c>
      <c r="C805" s="27" t="str">
        <f>TEXT(A805,"MMMM")</f>
        <v>fevereiro</v>
      </c>
      <c r="D805" s="30" t="s">
        <v>32</v>
      </c>
      <c r="E805" s="30" t="s">
        <v>34</v>
      </c>
      <c r="F805" s="31">
        <v>7.1990740740740744E-2</v>
      </c>
      <c r="G805" s="31">
        <v>0.45758101851851851</v>
      </c>
      <c r="H805" s="31">
        <v>0.75045138888888885</v>
      </c>
      <c r="I805" s="43">
        <f>H805-G805</f>
        <v>0.29287037037037034</v>
      </c>
      <c r="J805" s="43">
        <v>0.3</v>
      </c>
      <c r="K805" s="2"/>
      <c r="L805" s="3">
        <f>J805-I805</f>
        <v>7.1296296296296524E-3</v>
      </c>
      <c r="M805" s="4">
        <f>F805/I805</f>
        <v>0.24581093898197917</v>
      </c>
      <c r="N805" s="4">
        <f>I805/J805</f>
        <v>0.97623456790123453</v>
      </c>
    </row>
    <row r="806" spans="1:14" x14ac:dyDescent="0.3">
      <c r="A806" s="29">
        <v>46078</v>
      </c>
      <c r="B806" s="8">
        <f>YEAR(A806)</f>
        <v>2026</v>
      </c>
      <c r="C806" s="27" t="str">
        <f>TEXT(A806,"MMMM")</f>
        <v>fevereiro</v>
      </c>
      <c r="D806" s="30" t="s">
        <v>28</v>
      </c>
      <c r="E806" s="30" t="s">
        <v>14</v>
      </c>
      <c r="F806" s="31">
        <v>7.6655092592592594E-2</v>
      </c>
      <c r="G806" s="31">
        <v>0.40250000000000002</v>
      </c>
      <c r="H806" s="31">
        <v>0.75313657407407408</v>
      </c>
      <c r="I806" s="43">
        <f>H806-G806</f>
        <v>0.35063657407407406</v>
      </c>
      <c r="J806" s="43">
        <v>0.3</v>
      </c>
      <c r="K806" s="2">
        <f>I806-J806</f>
        <v>5.063657407407407E-2</v>
      </c>
      <c r="L806" s="3"/>
      <c r="M806" s="4">
        <f>F806/I806</f>
        <v>0.21861693348737415</v>
      </c>
      <c r="N806" s="4">
        <f>I806/J806</f>
        <v>1.1687885802469136</v>
      </c>
    </row>
    <row r="807" spans="1:14" x14ac:dyDescent="0.3">
      <c r="A807" s="29">
        <v>46078</v>
      </c>
      <c r="B807" s="8">
        <f>YEAR(A807)</f>
        <v>2026</v>
      </c>
      <c r="C807" s="27" t="str">
        <f>TEXT(A807,"MMMM")</f>
        <v>fevereiro</v>
      </c>
      <c r="D807" s="30" t="s">
        <v>29</v>
      </c>
      <c r="E807" s="30" t="s">
        <v>14</v>
      </c>
      <c r="F807" s="31">
        <v>1.5057870370370371E-2</v>
      </c>
      <c r="G807" s="31">
        <v>0.3614236111111111</v>
      </c>
      <c r="H807" s="31">
        <v>0.42631944444444442</v>
      </c>
      <c r="I807" s="43">
        <f>H807-G807</f>
        <v>6.4895833333333319E-2</v>
      </c>
      <c r="J807" s="43">
        <v>0.3</v>
      </c>
      <c r="K807" s="2"/>
      <c r="L807" s="3">
        <f>J807-I807</f>
        <v>0.23510416666666667</v>
      </c>
      <c r="M807" s="4">
        <f>F807/I807</f>
        <v>0.23203138933476017</v>
      </c>
      <c r="N807" s="4">
        <f>I807/J807</f>
        <v>0.2163194444444444</v>
      </c>
    </row>
    <row r="808" spans="1:14" x14ac:dyDescent="0.3">
      <c r="A808" s="29">
        <v>46079</v>
      </c>
      <c r="B808" s="8">
        <f>YEAR(A808)</f>
        <v>2026</v>
      </c>
      <c r="C808" s="27" t="str">
        <f>TEXT(A808,"MMMM")</f>
        <v>fevereiro</v>
      </c>
      <c r="D808" s="30" t="s">
        <v>16</v>
      </c>
      <c r="E808" s="30" t="s">
        <v>34</v>
      </c>
      <c r="F808" s="31">
        <v>4.1296296296296296E-2</v>
      </c>
      <c r="G808" s="31">
        <v>0.33374999999999999</v>
      </c>
      <c r="H808" s="31">
        <v>0.63471064814814815</v>
      </c>
      <c r="I808" s="43">
        <f>H808-G808</f>
        <v>0.30096064814814816</v>
      </c>
      <c r="J808" s="43">
        <v>0.3</v>
      </c>
      <c r="K808" s="2">
        <f>I808-J808</f>
        <v>9.6064814814816879E-4</v>
      </c>
      <c r="L808" s="3"/>
      <c r="M808" s="4">
        <f>F808/I808</f>
        <v>0.13721493673806867</v>
      </c>
      <c r="N808" s="4">
        <f>I808/J808</f>
        <v>1.0032021604938273</v>
      </c>
    </row>
    <row r="809" spans="1:14" x14ac:dyDescent="0.3">
      <c r="A809" s="29">
        <v>46079</v>
      </c>
      <c r="B809" s="8">
        <f>YEAR(A809)</f>
        <v>2026</v>
      </c>
      <c r="C809" s="27" t="str">
        <f>TEXT(A809,"MMMM")</f>
        <v>fevereiro</v>
      </c>
      <c r="D809" s="30" t="s">
        <v>47</v>
      </c>
      <c r="E809" s="30" t="s">
        <v>21</v>
      </c>
      <c r="F809" s="31">
        <v>3.6736111111111108E-2</v>
      </c>
      <c r="G809" s="31">
        <v>0.51409722222222221</v>
      </c>
      <c r="H809" s="31">
        <v>0.75168981481481478</v>
      </c>
      <c r="I809" s="43">
        <f>H809-G809</f>
        <v>0.23759259259259258</v>
      </c>
      <c r="J809" s="43">
        <v>0.25</v>
      </c>
      <c r="K809" s="2"/>
      <c r="L809" s="3">
        <f>J809-I809</f>
        <v>1.2407407407407423E-2</v>
      </c>
      <c r="M809" s="4">
        <f>F809/I809</f>
        <v>0.15461808261886203</v>
      </c>
      <c r="N809" s="4">
        <f>I809/J809</f>
        <v>0.95037037037037031</v>
      </c>
    </row>
    <row r="810" spans="1:14" x14ac:dyDescent="0.3">
      <c r="A810" s="29">
        <v>46079</v>
      </c>
      <c r="B810" s="8">
        <f>YEAR(A810)</f>
        <v>2026</v>
      </c>
      <c r="C810" s="27" t="str">
        <f>TEXT(A810,"MMMM")</f>
        <v>fevereiro</v>
      </c>
      <c r="D810" s="30" t="s">
        <v>18</v>
      </c>
      <c r="E810" s="30" t="s">
        <v>14</v>
      </c>
      <c r="F810" s="31">
        <v>3.6597222222222225E-2</v>
      </c>
      <c r="G810" s="31">
        <v>0.33842592592592591</v>
      </c>
      <c r="H810" s="31">
        <v>0.63575231481481487</v>
      </c>
      <c r="I810" s="43">
        <f>H810-G810</f>
        <v>0.29732638888888896</v>
      </c>
      <c r="J810" s="43">
        <v>0.3</v>
      </c>
      <c r="K810" s="2"/>
      <c r="L810" s="3">
        <f>J810-I810</f>
        <v>2.6736111111110294E-3</v>
      </c>
      <c r="M810" s="4">
        <f>F810/I810</f>
        <v>0.12308770290785938</v>
      </c>
      <c r="N810" s="4">
        <f>I810/J810</f>
        <v>0.9910879629629632</v>
      </c>
    </row>
    <row r="811" spans="1:14" x14ac:dyDescent="0.3">
      <c r="A811" s="29">
        <v>46079</v>
      </c>
      <c r="B811" s="8">
        <f>YEAR(A811)</f>
        <v>2026</v>
      </c>
      <c r="C811" s="27" t="str">
        <f>TEXT(A811,"MMMM")</f>
        <v>fevereiro</v>
      </c>
      <c r="D811" s="30" t="s">
        <v>69</v>
      </c>
      <c r="E811" s="30" t="s">
        <v>34</v>
      </c>
      <c r="F811" s="31">
        <v>5.1099537037037034E-2</v>
      </c>
      <c r="G811" s="31">
        <v>0.33394675925925926</v>
      </c>
      <c r="H811" s="31">
        <v>0.63385416666666672</v>
      </c>
      <c r="I811" s="43">
        <f>H811-G811</f>
        <v>0.29990740740740746</v>
      </c>
      <c r="J811" s="43">
        <v>0.3</v>
      </c>
      <c r="K811" s="2"/>
      <c r="L811" s="3">
        <f>J811-I811</f>
        <v>9.2592592592533052E-5</v>
      </c>
      <c r="M811" s="4">
        <f>F811/I811</f>
        <v>0.17038437789441183</v>
      </c>
      <c r="N811" s="4">
        <f>I811/J811</f>
        <v>0.99969135802469156</v>
      </c>
    </row>
    <row r="812" spans="1:14" x14ac:dyDescent="0.3">
      <c r="A812" s="29">
        <v>46079</v>
      </c>
      <c r="B812" s="8">
        <f>YEAR(A812)</f>
        <v>2026</v>
      </c>
      <c r="C812" s="27" t="str">
        <f>TEXT(A812,"MMMM")</f>
        <v>fevereiro</v>
      </c>
      <c r="D812" s="30" t="s">
        <v>22</v>
      </c>
      <c r="E812" s="30" t="s">
        <v>21</v>
      </c>
      <c r="F812" s="31">
        <v>3.5821759259259262E-2</v>
      </c>
      <c r="G812" s="31">
        <v>0.34362268518518518</v>
      </c>
      <c r="H812" s="31">
        <v>0.63432870370370376</v>
      </c>
      <c r="I812" s="43">
        <f>H812-G812</f>
        <v>0.29070601851851857</v>
      </c>
      <c r="J812" s="43">
        <v>0.3</v>
      </c>
      <c r="K812" s="2"/>
      <c r="L812" s="3">
        <f>J812-I812</f>
        <v>9.293981481481417E-3</v>
      </c>
      <c r="M812" s="4">
        <f>F812/I812</f>
        <v>0.12322331488633195</v>
      </c>
      <c r="N812" s="4">
        <f>I812/J812</f>
        <v>0.96902006172839528</v>
      </c>
    </row>
    <row r="813" spans="1:14" x14ac:dyDescent="0.3">
      <c r="A813" s="29">
        <v>46079</v>
      </c>
      <c r="B813" s="8">
        <f>YEAR(A813)</f>
        <v>2026</v>
      </c>
      <c r="C813" s="27" t="str">
        <f>TEXT(A813,"MMMM")</f>
        <v>fevereiro</v>
      </c>
      <c r="D813" s="30" t="s">
        <v>33</v>
      </c>
      <c r="E813" s="30" t="s">
        <v>34</v>
      </c>
      <c r="F813" s="31">
        <v>3.3576388888888892E-2</v>
      </c>
      <c r="G813" s="31">
        <v>0.33273148148148146</v>
      </c>
      <c r="H813" s="31">
        <v>0.63396990740740744</v>
      </c>
      <c r="I813" s="43">
        <f>H813-G813</f>
        <v>0.30123842592592598</v>
      </c>
      <c r="J813" s="43">
        <v>0.3</v>
      </c>
      <c r="K813" s="2">
        <f>I813-J813</f>
        <v>1.23842592592599E-3</v>
      </c>
      <c r="L813" s="3"/>
      <c r="M813" s="4">
        <f>F813/I813</f>
        <v>0.11146117493372266</v>
      </c>
      <c r="N813" s="4">
        <f>I813/J813</f>
        <v>1.0041280864197533</v>
      </c>
    </row>
    <row r="814" spans="1:14" x14ac:dyDescent="0.3">
      <c r="A814" s="29">
        <v>46079</v>
      </c>
      <c r="B814" s="8">
        <f>YEAR(A814)</f>
        <v>2026</v>
      </c>
      <c r="C814" s="27" t="str">
        <f>TEXT(A814,"MMMM")</f>
        <v>fevereiro</v>
      </c>
      <c r="D814" s="30" t="s">
        <v>26</v>
      </c>
      <c r="E814" s="30" t="s">
        <v>15</v>
      </c>
      <c r="F814" s="31">
        <v>3.5613425925925923E-2</v>
      </c>
      <c r="G814" s="31">
        <v>0.33706018518518521</v>
      </c>
      <c r="H814" s="31">
        <v>0.63500000000000001</v>
      </c>
      <c r="I814" s="43">
        <f>H814-G814</f>
        <v>0.2979398148148148</v>
      </c>
      <c r="J814" s="43">
        <v>0.3</v>
      </c>
      <c r="K814" s="2"/>
      <c r="L814" s="3">
        <f>J814-I814</f>
        <v>2.0601851851851927E-3</v>
      </c>
      <c r="M814" s="4">
        <f>F814/I814</f>
        <v>0.11953228187398027</v>
      </c>
      <c r="N814" s="4">
        <f>I814/J814</f>
        <v>0.99313271604938269</v>
      </c>
    </row>
    <row r="815" spans="1:14" x14ac:dyDescent="0.3">
      <c r="A815" s="29">
        <v>46079</v>
      </c>
      <c r="B815" s="8">
        <f>YEAR(A815)</f>
        <v>2026</v>
      </c>
      <c r="C815" s="27" t="str">
        <f>TEXT(A815,"MMMM")</f>
        <v>fevereiro</v>
      </c>
      <c r="D815" s="30" t="s">
        <v>27</v>
      </c>
      <c r="E815" s="30" t="s">
        <v>34</v>
      </c>
      <c r="F815" s="31">
        <v>3.9189814814814816E-2</v>
      </c>
      <c r="G815" s="31">
        <v>0.3339699074074074</v>
      </c>
      <c r="H815" s="31">
        <v>0.63396990740740744</v>
      </c>
      <c r="I815" s="43">
        <f>H815-G815</f>
        <v>0.30000000000000004</v>
      </c>
      <c r="J815" s="43">
        <v>0.3</v>
      </c>
      <c r="K815" s="2">
        <f>I815-J815</f>
        <v>0</v>
      </c>
      <c r="L815" s="3">
        <f>J815-I815</f>
        <v>0</v>
      </c>
      <c r="M815" s="4">
        <f>F815/I815</f>
        <v>0.1306327160493827</v>
      </c>
      <c r="N815" s="4">
        <f>I815/J815</f>
        <v>1.0000000000000002</v>
      </c>
    </row>
    <row r="816" spans="1:14" x14ac:dyDescent="0.3">
      <c r="A816" s="29">
        <v>46079</v>
      </c>
      <c r="B816" s="8">
        <f>YEAR(A816)</f>
        <v>2026</v>
      </c>
      <c r="C816" s="27" t="str">
        <f>TEXT(A816,"MMMM")</f>
        <v>fevereiro</v>
      </c>
      <c r="D816" s="30" t="s">
        <v>68</v>
      </c>
      <c r="E816" s="30" t="s">
        <v>34</v>
      </c>
      <c r="F816" s="31">
        <v>4.704861111111111E-2</v>
      </c>
      <c r="G816" s="31">
        <v>0.45131944444444444</v>
      </c>
      <c r="H816" s="31">
        <v>0.75070601851851848</v>
      </c>
      <c r="I816" s="43">
        <f>H816-G816</f>
        <v>0.29938657407407404</v>
      </c>
      <c r="J816" s="43">
        <v>0.3</v>
      </c>
      <c r="K816" s="2"/>
      <c r="L816" s="3">
        <f>J816-I816</f>
        <v>6.134259259259478E-4</v>
      </c>
      <c r="M816" s="4">
        <f>F816/I816</f>
        <v>0.15715003672633085</v>
      </c>
      <c r="N816" s="4">
        <f>I816/J816</f>
        <v>0.99795524691358017</v>
      </c>
    </row>
    <row r="817" spans="1:14" x14ac:dyDescent="0.3">
      <c r="A817" s="29">
        <v>46079</v>
      </c>
      <c r="B817" s="8">
        <f>YEAR(A817)</f>
        <v>2026</v>
      </c>
      <c r="C817" s="27" t="str">
        <f>TEXT(A817,"MMMM")</f>
        <v>fevereiro</v>
      </c>
      <c r="D817" s="30" t="s">
        <v>32</v>
      </c>
      <c r="E817" s="30" t="s">
        <v>34</v>
      </c>
      <c r="F817" s="31">
        <v>4.6365740740740742E-2</v>
      </c>
      <c r="G817" s="31">
        <v>0.45142361111111112</v>
      </c>
      <c r="H817" s="31">
        <v>0.7503009259259259</v>
      </c>
      <c r="I817" s="43">
        <f>H817-G817</f>
        <v>0.29887731481481478</v>
      </c>
      <c r="J817" s="43">
        <v>0.3</v>
      </c>
      <c r="K817" s="2"/>
      <c r="L817" s="3">
        <f>J817-I817</f>
        <v>1.1226851851852127E-3</v>
      </c>
      <c r="M817" s="4">
        <f>F817/I817</f>
        <v>0.15513302095031564</v>
      </c>
      <c r="N817" s="4">
        <f>I817/J817</f>
        <v>0.99625771604938262</v>
      </c>
    </row>
    <row r="818" spans="1:14" x14ac:dyDescent="0.3">
      <c r="A818" s="29">
        <v>46079</v>
      </c>
      <c r="B818" s="8">
        <f>YEAR(A818)</f>
        <v>2026</v>
      </c>
      <c r="C818" s="27" t="str">
        <f>TEXT(A818,"MMMM")</f>
        <v>fevereiro</v>
      </c>
      <c r="D818" s="30" t="s">
        <v>28</v>
      </c>
      <c r="E818" s="30" t="s">
        <v>14</v>
      </c>
      <c r="F818" s="31">
        <v>0.10074074074074074</v>
      </c>
      <c r="G818" s="31">
        <v>0.3762152777777778</v>
      </c>
      <c r="H818" s="31">
        <v>0.7506018518518518</v>
      </c>
      <c r="I818" s="43">
        <f>H818-G818</f>
        <v>0.374386574074074</v>
      </c>
      <c r="J818" s="43">
        <v>0.3</v>
      </c>
      <c r="K818" s="2">
        <f>I818-J818</f>
        <v>7.4386574074074008E-2</v>
      </c>
      <c r="L818" s="3"/>
      <c r="M818" s="4">
        <f>F818/I818</f>
        <v>0.2690821405385353</v>
      </c>
      <c r="N818" s="4">
        <f>I818/J818</f>
        <v>1.24795524691358</v>
      </c>
    </row>
    <row r="819" spans="1:14" x14ac:dyDescent="0.3">
      <c r="A819" s="29">
        <v>46079</v>
      </c>
      <c r="B819" s="8">
        <f>YEAR(A819)</f>
        <v>2026</v>
      </c>
      <c r="C819" s="27" t="str">
        <f>TEXT(A819,"MMMM")</f>
        <v>fevereiro</v>
      </c>
      <c r="D819" s="30" t="s">
        <v>29</v>
      </c>
      <c r="E819" s="30" t="s">
        <v>14</v>
      </c>
      <c r="F819" s="31">
        <v>4.3055555555555555E-2</v>
      </c>
      <c r="G819" s="31">
        <v>0.35420138888888891</v>
      </c>
      <c r="H819" s="31">
        <v>0.63408564814814816</v>
      </c>
      <c r="I819" s="43">
        <f>H819-G819</f>
        <v>0.27988425925925925</v>
      </c>
      <c r="J819" s="43">
        <v>0.3</v>
      </c>
      <c r="K819" s="2"/>
      <c r="L819" s="3">
        <f>J819-I819</f>
        <v>2.011574074074074E-2</v>
      </c>
      <c r="M819" s="4">
        <f>F819/I819</f>
        <v>0.15383342982383591</v>
      </c>
      <c r="N819" s="4">
        <f>I819/J819</f>
        <v>0.93294753086419757</v>
      </c>
    </row>
    <row r="820" spans="1:14" x14ac:dyDescent="0.3">
      <c r="A820" s="29">
        <v>46080</v>
      </c>
      <c r="B820" s="8">
        <f>YEAR(A820)</f>
        <v>2026</v>
      </c>
      <c r="C820" s="27" t="str">
        <f>TEXT(A820,"MMMM")</f>
        <v>fevereiro</v>
      </c>
      <c r="D820" s="30" t="s">
        <v>16</v>
      </c>
      <c r="E820" s="30" t="s">
        <v>34</v>
      </c>
      <c r="F820" s="31">
        <v>3.6666666666666667E-2</v>
      </c>
      <c r="G820" s="31">
        <v>0.33377314814814812</v>
      </c>
      <c r="H820" s="31">
        <v>0.5873842592592593</v>
      </c>
      <c r="I820" s="43">
        <f>H820-G820</f>
        <v>0.25361111111111118</v>
      </c>
      <c r="J820" s="43">
        <v>0.3</v>
      </c>
      <c r="K820" s="2"/>
      <c r="L820" s="3">
        <f>J820-I820</f>
        <v>4.6388888888888813E-2</v>
      </c>
      <c r="M820" s="4">
        <f>F820/I820</f>
        <v>0.14457831325301201</v>
      </c>
      <c r="N820" s="4">
        <f>I820/J820</f>
        <v>0.84537037037037066</v>
      </c>
    </row>
    <row r="821" spans="1:14" x14ac:dyDescent="0.3">
      <c r="A821" s="29">
        <v>46080</v>
      </c>
      <c r="B821" s="8">
        <f>YEAR(A821)</f>
        <v>2026</v>
      </c>
      <c r="C821" s="27" t="str">
        <f>TEXT(A821,"MMMM")</f>
        <v>fevereiro</v>
      </c>
      <c r="D821" s="30" t="s">
        <v>18</v>
      </c>
      <c r="E821" s="30" t="s">
        <v>14</v>
      </c>
      <c r="F821" s="31">
        <v>2.8402777777777777E-2</v>
      </c>
      <c r="G821" s="31">
        <v>0.34432870370370372</v>
      </c>
      <c r="H821" s="31">
        <v>0.63534722222222217</v>
      </c>
      <c r="I821" s="43">
        <f>H821-G821</f>
        <v>0.29101851851851845</v>
      </c>
      <c r="J821" s="43">
        <v>0.3</v>
      </c>
      <c r="K821" s="2"/>
      <c r="L821" s="3">
        <f>J821-I821</f>
        <v>8.9814814814815347E-3</v>
      </c>
      <c r="M821" s="4">
        <f>F821/I821</f>
        <v>9.7597836461979018E-2</v>
      </c>
      <c r="N821" s="4">
        <f>I821/J821</f>
        <v>0.97006172839506155</v>
      </c>
    </row>
    <row r="822" spans="1:14" x14ac:dyDescent="0.3">
      <c r="A822" s="29">
        <v>46080</v>
      </c>
      <c r="B822" s="8">
        <f>YEAR(A822)</f>
        <v>2026</v>
      </c>
      <c r="C822" s="27" t="str">
        <f>TEXT(A822,"MMMM")</f>
        <v>fevereiro</v>
      </c>
      <c r="D822" s="30" t="s">
        <v>22</v>
      </c>
      <c r="E822" s="30" t="s">
        <v>21</v>
      </c>
      <c r="F822" s="31">
        <v>3.8055555555555558E-2</v>
      </c>
      <c r="G822" s="31">
        <v>0.33451388888888889</v>
      </c>
      <c r="H822" s="31">
        <v>0.63776620370370374</v>
      </c>
      <c r="I822" s="43">
        <f>H822-G822</f>
        <v>0.30325231481481485</v>
      </c>
      <c r="J822" s="43">
        <v>0.3</v>
      </c>
      <c r="K822" s="2">
        <f>I822-J822</f>
        <v>3.2523148148148606E-3</v>
      </c>
      <c r="L822" s="3"/>
      <c r="M822" s="4">
        <f>F822/I822</f>
        <v>0.12549139345826493</v>
      </c>
      <c r="N822" s="4">
        <f>I822/J822</f>
        <v>1.0108410493827162</v>
      </c>
    </row>
    <row r="823" spans="1:14" x14ac:dyDescent="0.3">
      <c r="A823" s="29">
        <v>46080</v>
      </c>
      <c r="B823" s="8">
        <f>YEAR(A823)</f>
        <v>2026</v>
      </c>
      <c r="C823" s="27" t="str">
        <f>TEXT(A823,"MMMM")</f>
        <v>fevereiro</v>
      </c>
      <c r="D823" s="30" t="s">
        <v>33</v>
      </c>
      <c r="E823" s="30" t="s">
        <v>34</v>
      </c>
      <c r="F823" s="31">
        <v>3.7615740740740741E-2</v>
      </c>
      <c r="G823" s="31">
        <v>0.33412037037037035</v>
      </c>
      <c r="H823" s="31">
        <v>0.63371527777777781</v>
      </c>
      <c r="I823" s="43">
        <f>H823-G823</f>
        <v>0.29959490740740746</v>
      </c>
      <c r="J823" s="43">
        <v>0.3</v>
      </c>
      <c r="K823" s="2"/>
      <c r="L823" s="3">
        <f>J823-I823</f>
        <v>4.0509259259252639E-4</v>
      </c>
      <c r="M823" s="4">
        <f>F823/I823</f>
        <v>0.12555534093104112</v>
      </c>
      <c r="N823" s="4">
        <f>I823/J823</f>
        <v>0.99864969135802495</v>
      </c>
    </row>
    <row r="824" spans="1:14" x14ac:dyDescent="0.3">
      <c r="A824" s="29">
        <v>46080</v>
      </c>
      <c r="B824" s="8">
        <f>YEAR(A824)</f>
        <v>2026</v>
      </c>
      <c r="C824" s="27" t="str">
        <f>TEXT(A824,"MMMM")</f>
        <v>fevereiro</v>
      </c>
      <c r="D824" s="30" t="s">
        <v>24</v>
      </c>
      <c r="E824" s="30" t="s">
        <v>14</v>
      </c>
      <c r="F824" s="31">
        <v>4.3946759259259262E-2</v>
      </c>
      <c r="G824" s="31">
        <v>0.45659722222222221</v>
      </c>
      <c r="H824" s="31">
        <v>0.75084490740740739</v>
      </c>
      <c r="I824" s="43">
        <f>H824-G824</f>
        <v>0.29424768518518518</v>
      </c>
      <c r="J824" s="43">
        <v>0.3</v>
      </c>
      <c r="K824" s="2"/>
      <c r="L824" s="3">
        <f>J824-I824</f>
        <v>5.7523148148148073E-3</v>
      </c>
      <c r="M824" s="4">
        <f>F824/I824</f>
        <v>0.14935294811784605</v>
      </c>
      <c r="N824" s="4">
        <f>I824/J824</f>
        <v>0.98082561728395068</v>
      </c>
    </row>
    <row r="825" spans="1:14" x14ac:dyDescent="0.3">
      <c r="A825" s="29">
        <v>46080</v>
      </c>
      <c r="B825" s="8">
        <f>YEAR(A825)</f>
        <v>2026</v>
      </c>
      <c r="C825" s="27" t="str">
        <f>TEXT(A825,"MMMM")</f>
        <v>fevereiro</v>
      </c>
      <c r="D825" s="30" t="s">
        <v>26</v>
      </c>
      <c r="E825" s="30" t="s">
        <v>15</v>
      </c>
      <c r="F825" s="31">
        <v>3.2256944444444442E-2</v>
      </c>
      <c r="G825" s="31">
        <v>0.33630787037037035</v>
      </c>
      <c r="H825" s="31">
        <v>0.63394675925925925</v>
      </c>
      <c r="I825" s="43">
        <f>H825-G825</f>
        <v>0.2976388888888889</v>
      </c>
      <c r="J825" s="43">
        <v>0.3</v>
      </c>
      <c r="K825" s="2"/>
      <c r="L825" s="3">
        <f>J825-I825</f>
        <v>2.3611111111110916E-3</v>
      </c>
      <c r="M825" s="4">
        <f>F825/I825</f>
        <v>0.10837610825944936</v>
      </c>
      <c r="N825" s="4">
        <f>I825/J825</f>
        <v>0.99212962962962969</v>
      </c>
    </row>
    <row r="826" spans="1:14" x14ac:dyDescent="0.3">
      <c r="A826" s="29">
        <v>46080</v>
      </c>
      <c r="B826" s="8">
        <f>YEAR(A826)</f>
        <v>2026</v>
      </c>
      <c r="C826" s="27" t="str">
        <f>TEXT(A826,"MMMM")</f>
        <v>fevereiro</v>
      </c>
      <c r="D826" s="30" t="s">
        <v>27</v>
      </c>
      <c r="E826" s="30" t="s">
        <v>34</v>
      </c>
      <c r="F826" s="31">
        <v>1.6203703703703703E-2</v>
      </c>
      <c r="G826" s="31">
        <v>0.33444444444444443</v>
      </c>
      <c r="H826" s="31">
        <v>0.63567129629629626</v>
      </c>
      <c r="I826" s="43">
        <f>H826-G826</f>
        <v>0.30122685185185183</v>
      </c>
      <c r="J826" s="43">
        <v>0.3</v>
      </c>
      <c r="K826" s="2">
        <f>I826-J826</f>
        <v>1.2268518518518401E-3</v>
      </c>
      <c r="L826" s="3"/>
      <c r="M826" s="4">
        <f>F826/I826</f>
        <v>5.3792361484669177E-2</v>
      </c>
      <c r="N826" s="4">
        <f>I826/J826</f>
        <v>1.0040895061728394</v>
      </c>
    </row>
    <row r="827" spans="1:14" x14ac:dyDescent="0.3">
      <c r="A827" s="29">
        <v>46080</v>
      </c>
      <c r="B827" s="8">
        <f>YEAR(A827)</f>
        <v>2026</v>
      </c>
      <c r="C827" s="27" t="str">
        <f>TEXT(A827,"MMMM")</f>
        <v>fevereiro</v>
      </c>
      <c r="D827" s="30" t="s">
        <v>68</v>
      </c>
      <c r="E827" s="30" t="s">
        <v>34</v>
      </c>
      <c r="F827" s="31">
        <v>4.9722222222222223E-2</v>
      </c>
      <c r="G827" s="31">
        <v>0.45158564814814817</v>
      </c>
      <c r="H827" s="31">
        <v>0.750462962962963</v>
      </c>
      <c r="I827" s="43">
        <f>H827-G827</f>
        <v>0.29887731481481483</v>
      </c>
      <c r="J827" s="43">
        <v>0.3</v>
      </c>
      <c r="K827" s="2"/>
      <c r="L827" s="3">
        <f>J827-I827</f>
        <v>1.1226851851851571E-3</v>
      </c>
      <c r="M827" s="4">
        <f>F827/I827</f>
        <v>0.16636331952135691</v>
      </c>
      <c r="N827" s="4">
        <f>I827/J827</f>
        <v>0.99625771604938285</v>
      </c>
    </row>
    <row r="828" spans="1:14" x14ac:dyDescent="0.3">
      <c r="A828" s="29">
        <v>46080</v>
      </c>
      <c r="B828" s="8">
        <f>YEAR(A828)</f>
        <v>2026</v>
      </c>
      <c r="C828" s="27" t="str">
        <f>TEXT(A828,"MMMM")</f>
        <v>fevereiro</v>
      </c>
      <c r="D828" s="30" t="s">
        <v>32</v>
      </c>
      <c r="E828" s="30" t="s">
        <v>34</v>
      </c>
      <c r="F828" s="31">
        <v>4.4062499999999998E-2</v>
      </c>
      <c r="G828" s="31">
        <v>0.45993055555555556</v>
      </c>
      <c r="H828" s="31">
        <v>0.75039351851851854</v>
      </c>
      <c r="I828" s="43">
        <f>H828-G828</f>
        <v>0.29046296296296298</v>
      </c>
      <c r="J828" s="43">
        <v>0.3</v>
      </c>
      <c r="K828" s="2"/>
      <c r="L828" s="3">
        <f>J828-I828</f>
        <v>9.5370370370370106E-3</v>
      </c>
      <c r="M828" s="4">
        <f>F828/I828</f>
        <v>0.15169748167038571</v>
      </c>
      <c r="N828" s="4">
        <f>I828/J828</f>
        <v>0.96820987654321</v>
      </c>
    </row>
    <row r="829" spans="1:14" x14ac:dyDescent="0.3">
      <c r="A829" s="29">
        <v>46080</v>
      </c>
      <c r="B829" s="8">
        <f>YEAR(A829)</f>
        <v>2026</v>
      </c>
      <c r="C829" s="27" t="str">
        <f>TEXT(A829,"MMMM")</f>
        <v>fevereiro</v>
      </c>
      <c r="D829" s="30" t="s">
        <v>28</v>
      </c>
      <c r="E829" s="30" t="s">
        <v>14</v>
      </c>
      <c r="F829" s="31">
        <v>3.0694444444444444E-2</v>
      </c>
      <c r="G829" s="31">
        <v>0.45993055555555556</v>
      </c>
      <c r="H829" s="31">
        <v>0.75406249999999997</v>
      </c>
      <c r="I829" s="43">
        <f>H829-G829</f>
        <v>0.2941319444444444</v>
      </c>
      <c r="J829" s="43">
        <v>0.3</v>
      </c>
      <c r="K829" s="2"/>
      <c r="L829" s="3">
        <f>J829-I829</f>
        <v>5.8680555555555847E-3</v>
      </c>
      <c r="M829" s="4">
        <f>F829/I829</f>
        <v>0.10435603824814073</v>
      </c>
      <c r="N829" s="4">
        <f>I829/J829</f>
        <v>0.98043981481481468</v>
      </c>
    </row>
    <row r="830" spans="1:14" x14ac:dyDescent="0.3">
      <c r="A830" s="29">
        <v>46080</v>
      </c>
      <c r="B830" s="8">
        <f>YEAR(A830)</f>
        <v>2026</v>
      </c>
      <c r="C830" s="27" t="str">
        <f>TEXT(A830,"MMMM")</f>
        <v>fevereiro</v>
      </c>
      <c r="D830" s="30" t="s">
        <v>29</v>
      </c>
      <c r="E830" s="30" t="s">
        <v>14</v>
      </c>
      <c r="F830" s="31">
        <v>4.8287037037037038E-2</v>
      </c>
      <c r="G830" s="31">
        <v>0.33697916666666666</v>
      </c>
      <c r="H830" s="31">
        <v>0.63484953703703706</v>
      </c>
      <c r="I830" s="43">
        <f>H830-G830</f>
        <v>0.2978703703703704</v>
      </c>
      <c r="J830" s="43">
        <v>0.3</v>
      </c>
      <c r="K830" s="2"/>
      <c r="L830" s="3">
        <f>J830-I830</f>
        <v>2.1296296296295925E-3</v>
      </c>
      <c r="M830" s="4">
        <f>F830/I830</f>
        <v>0.16210755362138637</v>
      </c>
      <c r="N830" s="4">
        <f>I830/J830</f>
        <v>0.99290123456790136</v>
      </c>
    </row>
    <row r="831" spans="1:14" x14ac:dyDescent="0.3">
      <c r="A831" s="29">
        <v>46083</v>
      </c>
      <c r="B831" s="8">
        <f>YEAR(A831)</f>
        <v>2026</v>
      </c>
      <c r="C831" s="27" t="str">
        <f>TEXT(A831,"MMMM")</f>
        <v>março</v>
      </c>
      <c r="D831" s="30" t="s">
        <v>16</v>
      </c>
      <c r="E831" s="30" t="s">
        <v>34</v>
      </c>
      <c r="F831" s="31">
        <v>3.7951388888888889E-2</v>
      </c>
      <c r="G831" s="31">
        <v>0.34061342592592592</v>
      </c>
      <c r="H831" s="31">
        <v>0.67519675925925926</v>
      </c>
      <c r="I831" s="43">
        <f>H831-G831</f>
        <v>0.33458333333333334</v>
      </c>
      <c r="J831" s="43">
        <v>0.3</v>
      </c>
      <c r="K831" s="2">
        <f>I831-J831</f>
        <v>3.4583333333333355E-2</v>
      </c>
      <c r="L831" s="3"/>
      <c r="M831" s="4">
        <f>F831/I831</f>
        <v>0.11342880863428809</v>
      </c>
      <c r="N831" s="4">
        <f>I831/J831</f>
        <v>1.1152777777777778</v>
      </c>
    </row>
    <row r="832" spans="1:14" x14ac:dyDescent="0.3">
      <c r="A832" s="29">
        <v>46083</v>
      </c>
      <c r="B832" s="8">
        <f>YEAR(A832)</f>
        <v>2026</v>
      </c>
      <c r="C832" s="27" t="str">
        <f>TEXT(A832,"MMMM")</f>
        <v>março</v>
      </c>
      <c r="D832" s="30" t="s">
        <v>18</v>
      </c>
      <c r="E832" s="30" t="s">
        <v>34</v>
      </c>
      <c r="F832" s="31">
        <v>4.5405092592592594E-2</v>
      </c>
      <c r="G832" s="31">
        <v>0.36813657407407407</v>
      </c>
      <c r="H832" s="31">
        <v>0.64236111111111116</v>
      </c>
      <c r="I832" s="43">
        <f>H832-G832</f>
        <v>0.27422453703703709</v>
      </c>
      <c r="J832" s="43">
        <v>0.3</v>
      </c>
      <c r="K832" s="2"/>
      <c r="L832" s="3">
        <f>J832-I832</f>
        <v>2.5775462962962903E-2</v>
      </c>
      <c r="M832" s="4">
        <f>F832/I832</f>
        <v>0.16557633056176926</v>
      </c>
      <c r="N832" s="4">
        <f>I832/J832</f>
        <v>0.91408179012345703</v>
      </c>
    </row>
    <row r="833" spans="1:14" x14ac:dyDescent="0.3">
      <c r="A833" s="29">
        <v>46083</v>
      </c>
      <c r="B833" s="8">
        <f>YEAR(A833)</f>
        <v>2026</v>
      </c>
      <c r="C833" s="27" t="str">
        <f>TEXT(A833,"MMMM")</f>
        <v>março</v>
      </c>
      <c r="D833" s="30" t="s">
        <v>69</v>
      </c>
      <c r="E833" s="30" t="s">
        <v>34</v>
      </c>
      <c r="F833" s="31">
        <v>5.5671296296296295E-2</v>
      </c>
      <c r="G833" s="31">
        <v>0.37163194444444442</v>
      </c>
      <c r="H833" s="31">
        <v>0.64005787037037032</v>
      </c>
      <c r="I833" s="43">
        <f>H833-G833</f>
        <v>0.2684259259259259</v>
      </c>
      <c r="J833" s="43">
        <v>0.3</v>
      </c>
      <c r="K833" s="2"/>
      <c r="L833" s="3">
        <f>J833-I833</f>
        <v>3.1574074074074088E-2</v>
      </c>
      <c r="M833" s="4">
        <f>F833/I833</f>
        <v>0.20739910313901347</v>
      </c>
      <c r="N833" s="4">
        <f>I833/J833</f>
        <v>0.89475308641975304</v>
      </c>
    </row>
    <row r="834" spans="1:14" x14ac:dyDescent="0.3">
      <c r="A834" s="29">
        <v>46083</v>
      </c>
      <c r="B834" s="8">
        <f>YEAR(A834)</f>
        <v>2026</v>
      </c>
      <c r="C834" s="27" t="str">
        <f>TEXT(A834,"MMMM")</f>
        <v>março</v>
      </c>
      <c r="D834" s="30" t="s">
        <v>22</v>
      </c>
      <c r="E834" s="30" t="s">
        <v>21</v>
      </c>
      <c r="F834" s="31">
        <v>3.979166666666667E-2</v>
      </c>
      <c r="G834" s="31">
        <v>0.45630787037037035</v>
      </c>
      <c r="H834" s="31">
        <v>0.75011574074074072</v>
      </c>
      <c r="I834" s="43">
        <f>H834-G834</f>
        <v>0.29380787037037037</v>
      </c>
      <c r="J834" s="43">
        <v>0.3</v>
      </c>
      <c r="K834" s="2"/>
      <c r="L834" s="3">
        <f>J834-I834</f>
        <v>6.1921296296296169E-3</v>
      </c>
      <c r="M834" s="4">
        <f>F834/I834</f>
        <v>0.1354343116013394</v>
      </c>
      <c r="N834" s="4">
        <f>I834/J834</f>
        <v>0.97935956790123457</v>
      </c>
    </row>
    <row r="835" spans="1:14" x14ac:dyDescent="0.3">
      <c r="A835" s="29">
        <v>46083</v>
      </c>
      <c r="B835" s="8">
        <f>YEAR(A835)</f>
        <v>2026</v>
      </c>
      <c r="C835" s="27" t="str">
        <f>TEXT(A835,"MMMM")</f>
        <v>março</v>
      </c>
      <c r="D835" s="30" t="s">
        <v>33</v>
      </c>
      <c r="E835" s="30" t="s">
        <v>34</v>
      </c>
      <c r="F835" s="31">
        <v>3.6793981481481483E-2</v>
      </c>
      <c r="G835" s="31">
        <v>0.33315972222222223</v>
      </c>
      <c r="H835" s="31">
        <v>0.63356481481481486</v>
      </c>
      <c r="I835" s="43">
        <f>H835-G835</f>
        <v>0.30040509259259263</v>
      </c>
      <c r="J835" s="43">
        <v>0.3</v>
      </c>
      <c r="K835" s="2">
        <f>I835-J835</f>
        <v>4.0509259259263741E-4</v>
      </c>
      <c r="L835" s="3"/>
      <c r="M835" s="4">
        <f>F835/I835</f>
        <v>0.12248121749181275</v>
      </c>
      <c r="N835" s="4">
        <f>I835/J835</f>
        <v>1.0013503086419755</v>
      </c>
    </row>
    <row r="836" spans="1:14" x14ac:dyDescent="0.3">
      <c r="A836" s="29">
        <v>46083</v>
      </c>
      <c r="B836" s="8">
        <f>YEAR(A836)</f>
        <v>2026</v>
      </c>
      <c r="C836" s="27" t="str">
        <f>TEXT(A836,"MMMM")</f>
        <v>março</v>
      </c>
      <c r="D836" s="30" t="s">
        <v>26</v>
      </c>
      <c r="E836" s="30" t="s">
        <v>15</v>
      </c>
      <c r="F836" s="31">
        <v>3.574074074074074E-2</v>
      </c>
      <c r="G836" s="31">
        <v>0.33340277777777777</v>
      </c>
      <c r="H836" s="31">
        <v>0.63773148148148151</v>
      </c>
      <c r="I836" s="43">
        <f>H836-G836</f>
        <v>0.30432870370370374</v>
      </c>
      <c r="J836" s="43">
        <v>0.3</v>
      </c>
      <c r="K836" s="2">
        <f>I836-J836</f>
        <v>4.3287037037037512E-3</v>
      </c>
      <c r="L836" s="3"/>
      <c r="M836" s="4">
        <f>F836/I836</f>
        <v>0.11744124134783598</v>
      </c>
      <c r="N836" s="4">
        <f>I836/J836</f>
        <v>1.0144290123456792</v>
      </c>
    </row>
    <row r="837" spans="1:14" x14ac:dyDescent="0.3">
      <c r="A837" s="29">
        <v>46083</v>
      </c>
      <c r="B837" s="8">
        <f>YEAR(A837)</f>
        <v>2026</v>
      </c>
      <c r="C837" s="27" t="str">
        <f>TEXT(A837,"MMMM")</f>
        <v>março</v>
      </c>
      <c r="D837" s="30" t="s">
        <v>27</v>
      </c>
      <c r="E837" s="30" t="s">
        <v>34</v>
      </c>
      <c r="F837" s="31">
        <v>0</v>
      </c>
      <c r="G837" s="31">
        <v>0.33369212962962963</v>
      </c>
      <c r="H837" s="31">
        <v>0.34061342592592592</v>
      </c>
      <c r="I837" s="43">
        <f>H837-G837</f>
        <v>6.9212962962962865E-3</v>
      </c>
      <c r="J837" s="43">
        <v>0.3</v>
      </c>
      <c r="K837" s="2"/>
      <c r="L837" s="3">
        <f>J837-I837</f>
        <v>0.2930787037037037</v>
      </c>
      <c r="M837" s="4">
        <f>F837/I837</f>
        <v>0</v>
      </c>
      <c r="N837" s="4">
        <f>I837/J837</f>
        <v>2.3070987654320956E-2</v>
      </c>
    </row>
    <row r="838" spans="1:14" x14ac:dyDescent="0.3">
      <c r="A838" s="29">
        <v>46083</v>
      </c>
      <c r="B838" s="8">
        <f>YEAR(A838)</f>
        <v>2026</v>
      </c>
      <c r="C838" s="27" t="str">
        <f>TEXT(A838,"MMMM")</f>
        <v>março</v>
      </c>
      <c r="D838" s="30" t="s">
        <v>68</v>
      </c>
      <c r="E838" s="30" t="s">
        <v>34</v>
      </c>
      <c r="F838" s="31">
        <v>5.1412037037037034E-2</v>
      </c>
      <c r="G838" s="31">
        <v>0.45287037037037037</v>
      </c>
      <c r="H838" s="31">
        <v>0.75027777777777782</v>
      </c>
      <c r="I838" s="43">
        <f>H838-G838</f>
        <v>0.29740740740740745</v>
      </c>
      <c r="J838" s="43">
        <v>0.3</v>
      </c>
      <c r="K838" s="2"/>
      <c r="L838" s="3">
        <f>J838-I838</f>
        <v>2.5925925925925353E-3</v>
      </c>
      <c r="M838" s="4">
        <f>F838/I838</f>
        <v>0.17286737235367369</v>
      </c>
      <c r="N838" s="4">
        <f>I838/J838</f>
        <v>0.99135802469135825</v>
      </c>
    </row>
    <row r="839" spans="1:14" x14ac:dyDescent="0.3">
      <c r="A839" s="29">
        <v>46083</v>
      </c>
      <c r="B839" s="8">
        <f>YEAR(A839)</f>
        <v>2026</v>
      </c>
      <c r="C839" s="27" t="str">
        <f>TEXT(A839,"MMMM")</f>
        <v>março</v>
      </c>
      <c r="D839" s="30" t="s">
        <v>32</v>
      </c>
      <c r="E839" s="30" t="s">
        <v>34</v>
      </c>
      <c r="F839" s="31">
        <v>4.521990740740741E-2</v>
      </c>
      <c r="G839" s="31">
        <v>0.45229166666666665</v>
      </c>
      <c r="H839" s="31">
        <v>0.75140046296296292</v>
      </c>
      <c r="I839" s="43">
        <f>H839-G839</f>
        <v>0.29910879629629628</v>
      </c>
      <c r="J839" s="43">
        <v>0.3</v>
      </c>
      <c r="K839" s="2"/>
      <c r="L839" s="3">
        <f>J839-I839</f>
        <v>8.9120370370371349E-4</v>
      </c>
      <c r="M839" s="4">
        <f>F839/I839</f>
        <v>0.1511821382966374</v>
      </c>
      <c r="N839" s="4">
        <f>I839/J839</f>
        <v>0.99702932098765429</v>
      </c>
    </row>
    <row r="840" spans="1:14" x14ac:dyDescent="0.3">
      <c r="A840" s="29">
        <v>46083</v>
      </c>
      <c r="B840" s="8">
        <f>YEAR(A840)</f>
        <v>2026</v>
      </c>
      <c r="C840" s="27" t="str">
        <f>TEXT(A840,"MMMM")</f>
        <v>março</v>
      </c>
      <c r="D840" s="30" t="s">
        <v>28</v>
      </c>
      <c r="E840" s="30" t="s">
        <v>34</v>
      </c>
      <c r="F840" s="31">
        <v>5.5787037037037038E-2</v>
      </c>
      <c r="G840" s="31">
        <v>0.45991898148148147</v>
      </c>
      <c r="H840" s="31">
        <v>0.7513657407407407</v>
      </c>
      <c r="I840" s="43">
        <f>H840-G840</f>
        <v>0.29144675925925922</v>
      </c>
      <c r="J840" s="43">
        <v>0.3</v>
      </c>
      <c r="K840" s="2"/>
      <c r="L840" s="3">
        <f>J840-I840</f>
        <v>8.553240740740764E-3</v>
      </c>
      <c r="M840" s="4">
        <f>F840/I840</f>
        <v>0.19141416147095033</v>
      </c>
      <c r="N840" s="4">
        <f>I840/J840</f>
        <v>0.97148919753086416</v>
      </c>
    </row>
    <row r="841" spans="1:14" x14ac:dyDescent="0.3">
      <c r="A841" s="29">
        <v>46084</v>
      </c>
      <c r="B841" s="8">
        <f>YEAR(A841)</f>
        <v>2026</v>
      </c>
      <c r="C841" s="27" t="str">
        <f>TEXT(A841,"MMMM")</f>
        <v>março</v>
      </c>
      <c r="D841" s="30" t="s">
        <v>16</v>
      </c>
      <c r="E841" s="30" t="s">
        <v>34</v>
      </c>
      <c r="F841" s="31">
        <v>3.9259259259259258E-2</v>
      </c>
      <c r="G841" s="31">
        <v>0.33370370370370372</v>
      </c>
      <c r="H841" s="31">
        <v>0.63678240740740744</v>
      </c>
      <c r="I841" s="43">
        <f>H841-G841</f>
        <v>0.30307870370370371</v>
      </c>
      <c r="J841" s="43">
        <v>0.3</v>
      </c>
      <c r="K841" s="2">
        <f>I841-J841</f>
        <v>3.0787037037037224E-3</v>
      </c>
      <c r="L841" s="3"/>
      <c r="M841" s="4">
        <f>F841/I841</f>
        <v>0.12953486595890934</v>
      </c>
      <c r="N841" s="4">
        <f>I841/J841</f>
        <v>1.0102623456790125</v>
      </c>
    </row>
    <row r="842" spans="1:14" x14ac:dyDescent="0.3">
      <c r="A842" s="29">
        <v>46084</v>
      </c>
      <c r="B842" s="8">
        <f>YEAR(A842)</f>
        <v>2026</v>
      </c>
      <c r="C842" s="27" t="str">
        <f>TEXT(A842,"MMMM")</f>
        <v>março</v>
      </c>
      <c r="D842" s="30" t="s">
        <v>18</v>
      </c>
      <c r="E842" s="30" t="s">
        <v>34</v>
      </c>
      <c r="F842" s="31">
        <v>3.5937499999999997E-2</v>
      </c>
      <c r="G842" s="31">
        <v>0.35119212962962965</v>
      </c>
      <c r="H842" s="31">
        <v>0.65471064814814817</v>
      </c>
      <c r="I842" s="43">
        <f>H842-G842</f>
        <v>0.30351851851851852</v>
      </c>
      <c r="J842" s="43">
        <v>0.3</v>
      </c>
      <c r="K842" s="2">
        <f>I842-J842</f>
        <v>3.5185185185185319E-3</v>
      </c>
      <c r="L842" s="3"/>
      <c r="M842" s="4">
        <f>F842/I842</f>
        <v>0.11840298962782184</v>
      </c>
      <c r="N842" s="4">
        <f>I842/J842</f>
        <v>1.0117283950617284</v>
      </c>
    </row>
    <row r="843" spans="1:14" x14ac:dyDescent="0.3">
      <c r="A843" s="29">
        <v>46084</v>
      </c>
      <c r="B843" s="8">
        <f>YEAR(A843)</f>
        <v>2026</v>
      </c>
      <c r="C843" s="27" t="str">
        <f>TEXT(A843,"MMMM")</f>
        <v>março</v>
      </c>
      <c r="D843" s="30" t="s">
        <v>69</v>
      </c>
      <c r="E843" s="30" t="s">
        <v>34</v>
      </c>
      <c r="F843" s="31">
        <v>4.71875E-2</v>
      </c>
      <c r="G843" s="31">
        <v>0.33989583333333334</v>
      </c>
      <c r="H843" s="31">
        <v>0.63449074074074074</v>
      </c>
      <c r="I843" s="43">
        <f>H843-G843</f>
        <v>0.2945949074074074</v>
      </c>
      <c r="J843" s="43">
        <v>0.3</v>
      </c>
      <c r="K843" s="2"/>
      <c r="L843" s="3">
        <f>J843-I843</f>
        <v>5.4050925925925863E-3</v>
      </c>
      <c r="M843" s="4">
        <f>F843/I843</f>
        <v>0.1601775822103485</v>
      </c>
      <c r="N843" s="4">
        <f>I843/J843</f>
        <v>0.98198302469135801</v>
      </c>
    </row>
    <row r="844" spans="1:14" x14ac:dyDescent="0.3">
      <c r="A844" s="29">
        <v>46084</v>
      </c>
      <c r="B844" s="8">
        <f>YEAR(A844)</f>
        <v>2026</v>
      </c>
      <c r="C844" s="27" t="str">
        <f>TEXT(A844,"MMMM")</f>
        <v>março</v>
      </c>
      <c r="D844" s="30" t="s">
        <v>22</v>
      </c>
      <c r="E844" s="30" t="s">
        <v>21</v>
      </c>
      <c r="F844" s="31">
        <v>3.6400462962962961E-2</v>
      </c>
      <c r="G844" s="31">
        <v>0.42987268518518518</v>
      </c>
      <c r="H844" s="31">
        <v>0.75150462962962961</v>
      </c>
      <c r="I844" s="43">
        <f>H844-G844</f>
        <v>0.32163194444444443</v>
      </c>
      <c r="J844" s="43">
        <v>0.3</v>
      </c>
      <c r="K844" s="2">
        <f>I844-J844</f>
        <v>2.163194444444444E-2</v>
      </c>
      <c r="L844" s="3"/>
      <c r="M844" s="4">
        <f>F844/I844</f>
        <v>0.11317427759185289</v>
      </c>
      <c r="N844" s="4">
        <f>I844/J844</f>
        <v>1.0721064814814816</v>
      </c>
    </row>
    <row r="845" spans="1:14" x14ac:dyDescent="0.3">
      <c r="A845" s="29">
        <v>46084</v>
      </c>
      <c r="B845" s="8">
        <f>YEAR(A845)</f>
        <v>2026</v>
      </c>
      <c r="C845" s="27" t="str">
        <f>TEXT(A845,"MMMM")</f>
        <v>março</v>
      </c>
      <c r="D845" s="30" t="s">
        <v>33</v>
      </c>
      <c r="E845" s="30" t="s">
        <v>34</v>
      </c>
      <c r="F845" s="31">
        <v>3.4872685185185187E-2</v>
      </c>
      <c r="G845" s="31">
        <v>0.33425925925925926</v>
      </c>
      <c r="H845" s="31">
        <v>0.63365740740740739</v>
      </c>
      <c r="I845" s="43">
        <f>H845-G845</f>
        <v>0.29939814814814814</v>
      </c>
      <c r="J845" s="43">
        <v>0.3</v>
      </c>
      <c r="K845" s="2"/>
      <c r="L845" s="3">
        <f>J845-I845</f>
        <v>6.0185185185185341E-4</v>
      </c>
      <c r="M845" s="4">
        <f>F845/I845</f>
        <v>0.11647595484768827</v>
      </c>
      <c r="N845" s="4">
        <f>I845/J845</f>
        <v>0.99799382716049378</v>
      </c>
    </row>
    <row r="846" spans="1:14" x14ac:dyDescent="0.3">
      <c r="A846" s="29">
        <v>46084</v>
      </c>
      <c r="B846" s="8">
        <f>YEAR(A846)</f>
        <v>2026</v>
      </c>
      <c r="C846" s="27" t="str">
        <f>TEXT(A846,"MMMM")</f>
        <v>março</v>
      </c>
      <c r="D846" s="30" t="s">
        <v>76</v>
      </c>
      <c r="E846" s="30" t="s">
        <v>21</v>
      </c>
      <c r="F846" s="31">
        <v>2.7835648148148148E-2</v>
      </c>
      <c r="G846" s="31">
        <v>0.49048611111111112</v>
      </c>
      <c r="H846" s="31">
        <v>0.75048611111111108</v>
      </c>
      <c r="I846" s="43">
        <f>H846-G846</f>
        <v>0.25999999999999995</v>
      </c>
      <c r="J846" s="43">
        <v>0.3</v>
      </c>
      <c r="K846" s="2"/>
      <c r="L846" s="3">
        <f>J846-I846</f>
        <v>4.0000000000000036E-2</v>
      </c>
      <c r="M846" s="4">
        <f>F846/I846</f>
        <v>0.1070601851851852</v>
      </c>
      <c r="N846" s="4">
        <f>I846/J846</f>
        <v>0.86666666666666659</v>
      </c>
    </row>
    <row r="847" spans="1:14" x14ac:dyDescent="0.3">
      <c r="A847" s="29">
        <v>46084</v>
      </c>
      <c r="B847" s="8">
        <f>YEAR(A847)</f>
        <v>2026</v>
      </c>
      <c r="C847" s="27" t="str">
        <f>TEXT(A847,"MMMM")</f>
        <v>março</v>
      </c>
      <c r="D847" s="30" t="s">
        <v>26</v>
      </c>
      <c r="E847" s="30" t="s">
        <v>15</v>
      </c>
      <c r="F847" s="31">
        <v>2.78125E-2</v>
      </c>
      <c r="G847" s="31">
        <v>0.34826388888888887</v>
      </c>
      <c r="H847" s="31">
        <v>0.63922453703703708</v>
      </c>
      <c r="I847" s="43">
        <f>H847-G847</f>
        <v>0.2909606481481482</v>
      </c>
      <c r="J847" s="43">
        <v>0.3</v>
      </c>
      <c r="K847" s="2"/>
      <c r="L847" s="3">
        <f>J847-I847</f>
        <v>9.0393518518517846E-3</v>
      </c>
      <c r="M847" s="4">
        <f>F847/I847</f>
        <v>9.5588527785512536E-2</v>
      </c>
      <c r="N847" s="4">
        <f>I847/J847</f>
        <v>0.96986882716049405</v>
      </c>
    </row>
    <row r="848" spans="1:14" x14ac:dyDescent="0.3">
      <c r="A848" s="29">
        <v>46084</v>
      </c>
      <c r="B848" s="8">
        <f>YEAR(A848)</f>
        <v>2026</v>
      </c>
      <c r="C848" s="27" t="str">
        <f>TEXT(A848,"MMMM")</f>
        <v>março</v>
      </c>
      <c r="D848" s="30" t="s">
        <v>68</v>
      </c>
      <c r="E848" s="30" t="s">
        <v>34</v>
      </c>
      <c r="F848" s="31">
        <v>4.3738425925925924E-2</v>
      </c>
      <c r="G848" s="31">
        <v>0.46003472222222225</v>
      </c>
      <c r="H848" s="31">
        <v>0.7502199074074074</v>
      </c>
      <c r="I848" s="43">
        <f>H848-G848</f>
        <v>0.29018518518518516</v>
      </c>
      <c r="J848" s="43">
        <v>0.3</v>
      </c>
      <c r="K848" s="2"/>
      <c r="L848" s="3">
        <f>J848-I848</f>
        <v>9.8148148148148318E-3</v>
      </c>
      <c r="M848" s="4">
        <f>F848/I848</f>
        <v>0.15072590938098276</v>
      </c>
      <c r="N848" s="4">
        <f>I848/J848</f>
        <v>0.96728395061728389</v>
      </c>
    </row>
    <row r="849" spans="1:14" x14ac:dyDescent="0.3">
      <c r="A849" s="29">
        <v>46084</v>
      </c>
      <c r="B849" s="8">
        <f>YEAR(A849)</f>
        <v>2026</v>
      </c>
      <c r="C849" s="27" t="str">
        <f>TEXT(A849,"MMMM")</f>
        <v>março</v>
      </c>
      <c r="D849" s="30" t="s">
        <v>32</v>
      </c>
      <c r="E849" s="30" t="s">
        <v>34</v>
      </c>
      <c r="F849" s="31">
        <v>4.1562500000000002E-2</v>
      </c>
      <c r="G849" s="31">
        <v>0.45900462962962962</v>
      </c>
      <c r="H849" s="31">
        <v>0.75055555555555553</v>
      </c>
      <c r="I849" s="43">
        <f>H849-G849</f>
        <v>0.29155092592592591</v>
      </c>
      <c r="J849" s="43">
        <v>0.3</v>
      </c>
      <c r="K849" s="2"/>
      <c r="L849" s="3">
        <f>J849-I849</f>
        <v>8.4490740740740811E-3</v>
      </c>
      <c r="M849" s="4">
        <f>F849/I849</f>
        <v>0.14255657006748712</v>
      </c>
      <c r="N849" s="4">
        <f>I849/J849</f>
        <v>0.97183641975308643</v>
      </c>
    </row>
    <row r="850" spans="1:14" x14ac:dyDescent="0.3">
      <c r="A850" s="29">
        <v>46084</v>
      </c>
      <c r="B850" s="8">
        <f>YEAR(A850)</f>
        <v>2026</v>
      </c>
      <c r="C850" s="27" t="str">
        <f>TEXT(A850,"MMMM")</f>
        <v>março</v>
      </c>
      <c r="D850" s="30" t="s">
        <v>28</v>
      </c>
      <c r="E850" s="30" t="s">
        <v>34</v>
      </c>
      <c r="F850" s="31">
        <v>3.8032407407407411E-2</v>
      </c>
      <c r="G850" s="31">
        <v>0.48458333333333331</v>
      </c>
      <c r="H850" s="31">
        <v>0.75069444444444444</v>
      </c>
      <c r="I850" s="43">
        <f>H850-G850</f>
        <v>0.26611111111111113</v>
      </c>
      <c r="J850" s="43">
        <v>0.3</v>
      </c>
      <c r="K850" s="2"/>
      <c r="L850" s="3">
        <f>J850-I850</f>
        <v>3.3888888888888857E-2</v>
      </c>
      <c r="M850" s="4">
        <f>F850/I850</f>
        <v>0.14291927627000697</v>
      </c>
      <c r="N850" s="4">
        <f>I850/J850</f>
        <v>0.88703703703703718</v>
      </c>
    </row>
    <row r="851" spans="1:14" x14ac:dyDescent="0.3">
      <c r="A851" s="29">
        <v>46085</v>
      </c>
      <c r="B851" s="8">
        <f>YEAR(A851)</f>
        <v>2026</v>
      </c>
      <c r="C851" s="27" t="str">
        <f>TEXT(A851,"MMMM")</f>
        <v>março</v>
      </c>
      <c r="D851" s="30" t="s">
        <v>16</v>
      </c>
      <c r="E851" s="30" t="s">
        <v>34</v>
      </c>
      <c r="F851" s="31">
        <v>4.7268518518518515E-2</v>
      </c>
      <c r="G851" s="31">
        <v>0.33368055555555554</v>
      </c>
      <c r="H851" s="31">
        <v>0.63386574074074076</v>
      </c>
      <c r="I851" s="43">
        <f>H851-G851</f>
        <v>0.30018518518518522</v>
      </c>
      <c r="J851" s="43">
        <v>0.3</v>
      </c>
      <c r="K851" s="2">
        <f>I851-J851</f>
        <v>1.8518518518523264E-4</v>
      </c>
      <c r="L851" s="3"/>
      <c r="M851" s="4">
        <f>F851/I851</f>
        <v>0.15746452806909311</v>
      </c>
      <c r="N851" s="4">
        <f>I851/J851</f>
        <v>1.0006172839506173</v>
      </c>
    </row>
    <row r="852" spans="1:14" x14ac:dyDescent="0.3">
      <c r="A852" s="29">
        <v>46085</v>
      </c>
      <c r="B852" s="8">
        <f>YEAR(A852)</f>
        <v>2026</v>
      </c>
      <c r="C852" s="27" t="str">
        <f>TEXT(A852,"MMMM")</f>
        <v>março</v>
      </c>
      <c r="D852" s="30" t="s">
        <v>18</v>
      </c>
      <c r="E852" s="30" t="s">
        <v>34</v>
      </c>
      <c r="F852" s="31">
        <v>3.7453703703703704E-2</v>
      </c>
      <c r="G852" s="31">
        <v>0.33443287037037039</v>
      </c>
      <c r="H852" s="31">
        <v>0.65454861111111107</v>
      </c>
      <c r="I852" s="43">
        <f>H852-G852</f>
        <v>0.32011574074074067</v>
      </c>
      <c r="J852" s="43">
        <v>0.3</v>
      </c>
      <c r="K852" s="2">
        <f>I852-J852</f>
        <v>2.0115740740740684E-2</v>
      </c>
      <c r="L852" s="3"/>
      <c r="M852" s="4">
        <f>F852/I852</f>
        <v>0.11700050618265966</v>
      </c>
      <c r="N852" s="4">
        <f>I852/J852</f>
        <v>1.0670524691358023</v>
      </c>
    </row>
    <row r="853" spans="1:14" x14ac:dyDescent="0.3">
      <c r="A853" s="29">
        <v>46085</v>
      </c>
      <c r="B853" s="8">
        <f>YEAR(A853)</f>
        <v>2026</v>
      </c>
      <c r="C853" s="27" t="str">
        <f>TEXT(A853,"MMMM")</f>
        <v>março</v>
      </c>
      <c r="D853" s="30" t="s">
        <v>19</v>
      </c>
      <c r="E853" s="30" t="s">
        <v>34</v>
      </c>
      <c r="F853" s="31">
        <v>5.1157407407407408E-2</v>
      </c>
      <c r="G853" s="31">
        <v>0.37929398148148147</v>
      </c>
      <c r="H853" s="31">
        <v>0.63364583333333335</v>
      </c>
      <c r="I853" s="43">
        <f>H853-G853</f>
        <v>0.25435185185185188</v>
      </c>
      <c r="J853" s="43">
        <v>0.3</v>
      </c>
      <c r="K853" s="2"/>
      <c r="L853" s="3">
        <f>J853-I853</f>
        <v>4.5648148148148104E-2</v>
      </c>
      <c r="M853" s="4">
        <f>F853/I853</f>
        <v>0.20112850382235165</v>
      </c>
      <c r="N853" s="4">
        <f>I853/J853</f>
        <v>0.84783950617283965</v>
      </c>
    </row>
    <row r="854" spans="1:14" x14ac:dyDescent="0.3">
      <c r="A854" s="29">
        <v>46085</v>
      </c>
      <c r="B854" s="8">
        <f>YEAR(A854)</f>
        <v>2026</v>
      </c>
      <c r="C854" s="27" t="str">
        <f>TEXT(A854,"MMMM")</f>
        <v>março</v>
      </c>
      <c r="D854" s="30" t="s">
        <v>69</v>
      </c>
      <c r="E854" s="30" t="s">
        <v>34</v>
      </c>
      <c r="F854" s="31">
        <v>4.5613425925925925E-2</v>
      </c>
      <c r="G854" s="31">
        <v>0.36851851851851852</v>
      </c>
      <c r="H854" s="31">
        <v>0.71714120370370371</v>
      </c>
      <c r="I854" s="43">
        <f>H854-G854</f>
        <v>0.34862268518518519</v>
      </c>
      <c r="J854" s="43">
        <v>0.3</v>
      </c>
      <c r="K854" s="2">
        <f>I854-J854</f>
        <v>4.8622685185185199E-2</v>
      </c>
      <c r="L854" s="3"/>
      <c r="M854" s="4">
        <f>F854/I854</f>
        <v>0.13083894957006739</v>
      </c>
      <c r="N854" s="4">
        <f>I854/J854</f>
        <v>1.1620756172839506</v>
      </c>
    </row>
    <row r="855" spans="1:14" x14ac:dyDescent="0.3">
      <c r="A855" s="29">
        <v>46085</v>
      </c>
      <c r="B855" s="8">
        <f>YEAR(A855)</f>
        <v>2026</v>
      </c>
      <c r="C855" s="27" t="str">
        <f>TEXT(A855,"MMMM")</f>
        <v>março</v>
      </c>
      <c r="D855" s="30" t="s">
        <v>22</v>
      </c>
      <c r="E855" s="30" t="s">
        <v>21</v>
      </c>
      <c r="F855" s="31">
        <v>3.7638888888888888E-2</v>
      </c>
      <c r="G855" s="31">
        <v>0.45091435185185186</v>
      </c>
      <c r="H855" s="31">
        <v>0.75077546296296294</v>
      </c>
      <c r="I855" s="43">
        <f>H855-G855</f>
        <v>0.29986111111111108</v>
      </c>
      <c r="J855" s="43">
        <v>0.3</v>
      </c>
      <c r="K855" s="2"/>
      <c r="L855" s="3">
        <f>J855-I855</f>
        <v>1.388888888889106E-4</v>
      </c>
      <c r="M855" s="4">
        <f>F855/I855</f>
        <v>0.12552107457156092</v>
      </c>
      <c r="N855" s="4">
        <f>I855/J855</f>
        <v>0.999537037037037</v>
      </c>
    </row>
    <row r="856" spans="1:14" x14ac:dyDescent="0.3">
      <c r="A856" s="29">
        <v>46085</v>
      </c>
      <c r="B856" s="8">
        <f>YEAR(A856)</f>
        <v>2026</v>
      </c>
      <c r="C856" s="27" t="str">
        <f>TEXT(A856,"MMMM")</f>
        <v>março</v>
      </c>
      <c r="D856" s="30" t="s">
        <v>33</v>
      </c>
      <c r="E856" s="30" t="s">
        <v>34</v>
      </c>
      <c r="F856" s="31">
        <v>4.1122685185185186E-2</v>
      </c>
      <c r="G856" s="31">
        <v>0.33324074074074073</v>
      </c>
      <c r="H856" s="31">
        <v>0.63422453703703707</v>
      </c>
      <c r="I856" s="43">
        <f>H856-G856</f>
        <v>0.30098379629629635</v>
      </c>
      <c r="J856" s="43">
        <v>0.3</v>
      </c>
      <c r="K856" s="2">
        <f>I856-J856</f>
        <v>9.8379629629635756E-4</v>
      </c>
      <c r="L856" s="3"/>
      <c r="M856" s="4">
        <f>F856/I856</f>
        <v>0.13662757162084213</v>
      </c>
      <c r="N856" s="4">
        <f>I856/J856</f>
        <v>1.0032793209876545</v>
      </c>
    </row>
    <row r="857" spans="1:14" x14ac:dyDescent="0.3">
      <c r="A857" s="29">
        <v>46085</v>
      </c>
      <c r="B857" s="8">
        <f>YEAR(A857)</f>
        <v>2026</v>
      </c>
      <c r="C857" s="27" t="str">
        <f>TEXT(A857,"MMMM")</f>
        <v>março</v>
      </c>
      <c r="D857" s="30" t="s">
        <v>76</v>
      </c>
      <c r="E857" s="30" t="s">
        <v>21</v>
      </c>
      <c r="F857" s="31">
        <v>3.726851851851852E-2</v>
      </c>
      <c r="G857" s="31">
        <v>0.4533564814814815</v>
      </c>
      <c r="H857" s="31">
        <v>0.75391203703703702</v>
      </c>
      <c r="I857" s="43">
        <f>H857-G857</f>
        <v>0.30055555555555552</v>
      </c>
      <c r="J857" s="43">
        <v>0.3</v>
      </c>
      <c r="K857" s="2">
        <f>I857-J857</f>
        <v>5.5555555555553138E-4</v>
      </c>
      <c r="L857" s="3"/>
      <c r="M857" s="4">
        <f>F857/I857</f>
        <v>0.1239987677141097</v>
      </c>
      <c r="N857" s="4">
        <f>I857/J857</f>
        <v>1.0018518518518518</v>
      </c>
    </row>
    <row r="858" spans="1:14" x14ac:dyDescent="0.3">
      <c r="A858" s="29">
        <v>46085</v>
      </c>
      <c r="B858" s="8">
        <f>YEAR(A858)</f>
        <v>2026</v>
      </c>
      <c r="C858" s="27" t="str">
        <f>TEXT(A858,"MMMM")</f>
        <v>março</v>
      </c>
      <c r="D858" s="30" t="s">
        <v>25</v>
      </c>
      <c r="E858" s="30" t="s">
        <v>21</v>
      </c>
      <c r="F858" s="31">
        <v>4.0844907407407406E-2</v>
      </c>
      <c r="G858" s="31">
        <v>0.37042824074074077</v>
      </c>
      <c r="H858" s="31">
        <v>0.6340972222222222</v>
      </c>
      <c r="I858" s="43">
        <f>H858-G858</f>
        <v>0.26366898148148143</v>
      </c>
      <c r="J858" s="43">
        <v>0.3</v>
      </c>
      <c r="K858" s="2"/>
      <c r="L858" s="3">
        <f>J858-I858</f>
        <v>3.6331018518518554E-2</v>
      </c>
      <c r="M858" s="4">
        <f>F858/I858</f>
        <v>0.15490979324875995</v>
      </c>
      <c r="N858" s="4">
        <f>I858/J858</f>
        <v>0.87889660493827149</v>
      </c>
    </row>
    <row r="859" spans="1:14" x14ac:dyDescent="0.3">
      <c r="A859" s="29">
        <v>46085</v>
      </c>
      <c r="B859" s="8">
        <f>YEAR(A859)</f>
        <v>2026</v>
      </c>
      <c r="C859" s="27" t="str">
        <f>TEXT(A859,"MMMM")</f>
        <v>março</v>
      </c>
      <c r="D859" s="30" t="s">
        <v>26</v>
      </c>
      <c r="E859" s="30" t="s">
        <v>15</v>
      </c>
      <c r="F859" s="31">
        <v>3.9571759259259258E-2</v>
      </c>
      <c r="G859" s="31">
        <v>0.34081018518518519</v>
      </c>
      <c r="H859" s="31">
        <v>0.63687499999999997</v>
      </c>
      <c r="I859" s="43">
        <f>H859-G859</f>
        <v>0.29606481481481478</v>
      </c>
      <c r="J859" s="43">
        <v>0.3</v>
      </c>
      <c r="K859" s="2"/>
      <c r="L859" s="3">
        <f>J859-I859</f>
        <v>3.9351851851852082E-3</v>
      </c>
      <c r="M859" s="4">
        <f>F859/I859</f>
        <v>0.13365910867865521</v>
      </c>
      <c r="N859" s="4">
        <f>I859/J859</f>
        <v>0.9868827160493826</v>
      </c>
    </row>
    <row r="860" spans="1:14" x14ac:dyDescent="0.3">
      <c r="A860" s="29">
        <v>46085</v>
      </c>
      <c r="B860" s="8">
        <f>YEAR(A860)</f>
        <v>2026</v>
      </c>
      <c r="C860" s="27" t="str">
        <f>TEXT(A860,"MMMM")</f>
        <v>março</v>
      </c>
      <c r="D860" s="30" t="s">
        <v>68</v>
      </c>
      <c r="E860" s="30" t="s">
        <v>34</v>
      </c>
      <c r="F860" s="31">
        <v>5.3692129629629631E-2</v>
      </c>
      <c r="G860" s="31">
        <v>0.45671296296296299</v>
      </c>
      <c r="H860" s="31">
        <v>0.7505208333333333</v>
      </c>
      <c r="I860" s="43">
        <f>H860-G860</f>
        <v>0.29380787037037032</v>
      </c>
      <c r="J860" s="43">
        <v>0.3</v>
      </c>
      <c r="K860" s="2"/>
      <c r="L860" s="3">
        <f>J860-I860</f>
        <v>6.1921296296296724E-3</v>
      </c>
      <c r="M860" s="4">
        <f>F860/I860</f>
        <v>0.18274571597400044</v>
      </c>
      <c r="N860" s="4">
        <f>I860/J860</f>
        <v>0.97935956790123446</v>
      </c>
    </row>
    <row r="861" spans="1:14" x14ac:dyDescent="0.3">
      <c r="A861" s="29">
        <v>46085</v>
      </c>
      <c r="B861" s="8">
        <f>YEAR(A861)</f>
        <v>2026</v>
      </c>
      <c r="C861" s="27" t="str">
        <f>TEXT(A861,"MMMM")</f>
        <v>março</v>
      </c>
      <c r="D861" s="30" t="s">
        <v>32</v>
      </c>
      <c r="E861" s="30" t="s">
        <v>34</v>
      </c>
      <c r="F861" s="31">
        <v>4.2789351851851849E-2</v>
      </c>
      <c r="G861" s="31">
        <v>0.45059027777777777</v>
      </c>
      <c r="H861" s="31">
        <v>0.7517476851851852</v>
      </c>
      <c r="I861" s="43">
        <f>H861-G861</f>
        <v>0.30115740740740743</v>
      </c>
      <c r="J861" s="43">
        <v>0.3</v>
      </c>
      <c r="K861" s="2">
        <f>I861-J861</f>
        <v>1.1574074074074403E-3</v>
      </c>
      <c r="L861" s="3"/>
      <c r="M861" s="4">
        <f>F861/I861</f>
        <v>0.14208301306687163</v>
      </c>
      <c r="N861" s="4">
        <f>I861/J861</f>
        <v>1.0038580246913582</v>
      </c>
    </row>
    <row r="862" spans="1:14" x14ac:dyDescent="0.3">
      <c r="A862" s="29">
        <v>46085</v>
      </c>
      <c r="B862" s="8">
        <f>YEAR(A862)</f>
        <v>2026</v>
      </c>
      <c r="C862" s="27" t="str">
        <f>TEXT(A862,"MMMM")</f>
        <v>março</v>
      </c>
      <c r="D862" s="30" t="s">
        <v>28</v>
      </c>
      <c r="E862" s="30" t="s">
        <v>34</v>
      </c>
      <c r="F862" s="31">
        <v>5.4641203703703706E-2</v>
      </c>
      <c r="G862" s="31">
        <v>0.48121527777777778</v>
      </c>
      <c r="H862" s="31">
        <v>0.75087962962962962</v>
      </c>
      <c r="I862" s="43">
        <f>H862-G862</f>
        <v>0.26966435185185184</v>
      </c>
      <c r="J862" s="43">
        <v>0.3</v>
      </c>
      <c r="K862" s="2"/>
      <c r="L862" s="3">
        <f>J862-I862</f>
        <v>3.0335648148148153E-2</v>
      </c>
      <c r="M862" s="4">
        <f>F862/I862</f>
        <v>0.20262672217691749</v>
      </c>
      <c r="N862" s="4">
        <f>I862/J862</f>
        <v>0.89888117283950619</v>
      </c>
    </row>
    <row r="863" spans="1:14" x14ac:dyDescent="0.3">
      <c r="A863" s="29">
        <v>46085</v>
      </c>
      <c r="B863" s="8">
        <f>YEAR(A863)</f>
        <v>2026</v>
      </c>
      <c r="C863" s="27" t="str">
        <f>TEXT(A863,"MMMM")</f>
        <v>março</v>
      </c>
      <c r="D863" s="30" t="s">
        <v>29</v>
      </c>
      <c r="E863" s="30" t="s">
        <v>34</v>
      </c>
      <c r="F863" s="31">
        <v>4.5324074074074072E-2</v>
      </c>
      <c r="G863" s="31">
        <v>0.37130787037037039</v>
      </c>
      <c r="H863" s="31">
        <v>0.6457060185185185</v>
      </c>
      <c r="I863" s="43">
        <f>H863-G863</f>
        <v>0.27439814814814811</v>
      </c>
      <c r="J863" s="43">
        <v>0.3</v>
      </c>
      <c r="K863" s="2"/>
      <c r="L863" s="3">
        <f>J863-I863</f>
        <v>2.5601851851851876E-2</v>
      </c>
      <c r="M863" s="4">
        <f>F863/I863</f>
        <v>0.16517631179348743</v>
      </c>
      <c r="N863" s="4">
        <f>I863/J863</f>
        <v>0.91466049382716041</v>
      </c>
    </row>
    <row r="864" spans="1:14" x14ac:dyDescent="0.3">
      <c r="A864" s="29">
        <v>46086</v>
      </c>
      <c r="B864" s="8">
        <f>YEAR(A864)</f>
        <v>2026</v>
      </c>
      <c r="C864" s="27" t="str">
        <f>TEXT(A864,"MMMM")</f>
        <v>março</v>
      </c>
      <c r="D864" s="30" t="s">
        <v>16</v>
      </c>
      <c r="E864" s="30" t="s">
        <v>34</v>
      </c>
      <c r="F864" s="31">
        <v>4.3402777777777776E-2</v>
      </c>
      <c r="G864" s="31">
        <v>0.33379629629629631</v>
      </c>
      <c r="H864" s="31">
        <v>0.63531249999999995</v>
      </c>
      <c r="I864" s="43">
        <f>H864-G864</f>
        <v>0.30151620370370363</v>
      </c>
      <c r="J864" s="43">
        <v>0.3</v>
      </c>
      <c r="K864" s="2">
        <f>I864-J864</f>
        <v>1.5162037037036447E-3</v>
      </c>
      <c r="L864" s="3"/>
      <c r="M864" s="4">
        <f>F864/I864</f>
        <v>0.14394840889025376</v>
      </c>
      <c r="N864" s="4">
        <f>I864/J864</f>
        <v>1.0050540123456788</v>
      </c>
    </row>
    <row r="865" spans="1:14" x14ac:dyDescent="0.3">
      <c r="A865" s="29">
        <v>46086</v>
      </c>
      <c r="B865" s="8">
        <f>YEAR(A865)</f>
        <v>2026</v>
      </c>
      <c r="C865" s="27" t="str">
        <f>TEXT(A865,"MMMM")</f>
        <v>março</v>
      </c>
      <c r="D865" s="30" t="s">
        <v>47</v>
      </c>
      <c r="E865" s="30" t="s">
        <v>34</v>
      </c>
      <c r="F865" s="31">
        <v>4.4699074074074072E-2</v>
      </c>
      <c r="G865" s="31">
        <v>0.56747685185185182</v>
      </c>
      <c r="H865" s="31">
        <v>0.75049768518518523</v>
      </c>
      <c r="I865" s="43">
        <f>H865-G865</f>
        <v>0.18302083333333341</v>
      </c>
      <c r="J865" s="43">
        <v>0.25</v>
      </c>
      <c r="K865" s="2"/>
      <c r="L865" s="3">
        <f>J865-I865</f>
        <v>6.697916666666659E-2</v>
      </c>
      <c r="M865" s="4">
        <f>F865/I865</f>
        <v>0.24422943148042739</v>
      </c>
      <c r="N865" s="4">
        <f>I865/J865</f>
        <v>0.73208333333333364</v>
      </c>
    </row>
    <row r="866" spans="1:14" x14ac:dyDescent="0.3">
      <c r="A866" s="29">
        <v>46086</v>
      </c>
      <c r="B866" s="8">
        <f>YEAR(A866)</f>
        <v>2026</v>
      </c>
      <c r="C866" s="27" t="str">
        <f>TEXT(A866,"MMMM")</f>
        <v>março</v>
      </c>
      <c r="D866" s="30" t="s">
        <v>18</v>
      </c>
      <c r="E866" s="30" t="s">
        <v>34</v>
      </c>
      <c r="F866" s="31">
        <v>2.0752314814814814E-2</v>
      </c>
      <c r="G866" s="31">
        <v>0.3374537037037037</v>
      </c>
      <c r="H866" s="31">
        <v>0.50679398148148147</v>
      </c>
      <c r="I866" s="43">
        <f>H866-G866</f>
        <v>0.16934027777777777</v>
      </c>
      <c r="J866" s="43">
        <v>0.3</v>
      </c>
      <c r="K866" s="2"/>
      <c r="L866" s="3">
        <f>J866-I866</f>
        <v>0.13065972222222222</v>
      </c>
      <c r="M866" s="4">
        <f>F866/I866</f>
        <v>0.12254801448978198</v>
      </c>
      <c r="N866" s="4">
        <f>I866/J866</f>
        <v>0.5644675925925926</v>
      </c>
    </row>
    <row r="867" spans="1:14" x14ac:dyDescent="0.3">
      <c r="A867" s="29">
        <v>46086</v>
      </c>
      <c r="B867" s="8">
        <f>YEAR(A867)</f>
        <v>2026</v>
      </c>
      <c r="C867" s="27" t="str">
        <f>TEXT(A867,"MMMM")</f>
        <v>março</v>
      </c>
      <c r="D867" s="30" t="s">
        <v>19</v>
      </c>
      <c r="E867" s="30" t="s">
        <v>34</v>
      </c>
      <c r="F867" s="31">
        <v>5.5821759259259258E-2</v>
      </c>
      <c r="G867" s="31">
        <v>0.33630787037037035</v>
      </c>
      <c r="H867" s="31">
        <v>0.63399305555555552</v>
      </c>
      <c r="I867" s="43">
        <f>H867-G867</f>
        <v>0.29768518518518516</v>
      </c>
      <c r="J867" s="43">
        <v>0.3</v>
      </c>
      <c r="K867" s="2"/>
      <c r="L867" s="3">
        <f>J867-I867</f>
        <v>2.3148148148148251E-3</v>
      </c>
      <c r="M867" s="4">
        <f>F867/I867</f>
        <v>0.18751944012441682</v>
      </c>
      <c r="N867" s="4">
        <f>I867/J867</f>
        <v>0.99228395061728392</v>
      </c>
    </row>
    <row r="868" spans="1:14" x14ac:dyDescent="0.3">
      <c r="A868" s="29">
        <v>46086</v>
      </c>
      <c r="B868" s="8">
        <f>YEAR(A868)</f>
        <v>2026</v>
      </c>
      <c r="C868" s="27" t="str">
        <f>TEXT(A868,"MMMM")</f>
        <v>março</v>
      </c>
      <c r="D868" s="30" t="s">
        <v>69</v>
      </c>
      <c r="E868" s="30" t="s">
        <v>34</v>
      </c>
      <c r="F868" s="31">
        <v>5.3263888888888888E-2</v>
      </c>
      <c r="G868" s="31">
        <v>0.33393518518518517</v>
      </c>
      <c r="H868" s="31">
        <v>0.63392361111111106</v>
      </c>
      <c r="I868" s="43">
        <f>H868-G868</f>
        <v>0.29998842592592589</v>
      </c>
      <c r="J868" s="43">
        <v>0.3</v>
      </c>
      <c r="K868" s="2"/>
      <c r="L868" s="3">
        <f>J868-I868</f>
        <v>1.1574074074094387E-5</v>
      </c>
      <c r="M868" s="4">
        <f>F868/I868</f>
        <v>0.17755314634052241</v>
      </c>
      <c r="N868" s="4">
        <f>I868/J868</f>
        <v>0.99996141975308639</v>
      </c>
    </row>
    <row r="869" spans="1:14" x14ac:dyDescent="0.3">
      <c r="A869" s="29">
        <v>46086</v>
      </c>
      <c r="B869" s="8">
        <f>YEAR(A869)</f>
        <v>2026</v>
      </c>
      <c r="C869" s="27" t="str">
        <f>TEXT(A869,"MMMM")</f>
        <v>março</v>
      </c>
      <c r="D869" s="30" t="s">
        <v>22</v>
      </c>
      <c r="E869" s="30" t="s">
        <v>21</v>
      </c>
      <c r="F869" s="31">
        <v>3.965277777777778E-2</v>
      </c>
      <c r="G869" s="31">
        <v>0.45008101851851851</v>
      </c>
      <c r="H869" s="31">
        <v>0.75096064814814811</v>
      </c>
      <c r="I869" s="43">
        <f>H869-G869</f>
        <v>0.30087962962962961</v>
      </c>
      <c r="J869" s="43">
        <v>0.3</v>
      </c>
      <c r="K869" s="2">
        <f>I869-J869</f>
        <v>8.796296296296191E-4</v>
      </c>
      <c r="L869" s="3"/>
      <c r="M869" s="4">
        <f>F869/I869</f>
        <v>0.13178950607785814</v>
      </c>
      <c r="N869" s="4">
        <f>I869/J869</f>
        <v>1.002932098765432</v>
      </c>
    </row>
    <row r="870" spans="1:14" x14ac:dyDescent="0.3">
      <c r="A870" s="29">
        <v>46086</v>
      </c>
      <c r="B870" s="8">
        <f>YEAR(A870)</f>
        <v>2026</v>
      </c>
      <c r="C870" s="27" t="str">
        <f>TEXT(A870,"MMMM")</f>
        <v>março</v>
      </c>
      <c r="D870" s="30" t="s">
        <v>33</v>
      </c>
      <c r="E870" s="30" t="s">
        <v>34</v>
      </c>
      <c r="F870" s="31">
        <v>4.7951388888888891E-2</v>
      </c>
      <c r="G870" s="31">
        <v>0.33337962962962964</v>
      </c>
      <c r="H870" s="31">
        <v>0.63370370370370366</v>
      </c>
      <c r="I870" s="43">
        <f>H870-G870</f>
        <v>0.30032407407407402</v>
      </c>
      <c r="J870" s="43">
        <v>0.3</v>
      </c>
      <c r="K870" s="2">
        <f>I870-J870</f>
        <v>3.2407407407403221E-4</v>
      </c>
      <c r="L870" s="3"/>
      <c r="M870" s="4">
        <f>F870/I870</f>
        <v>0.15966548481578546</v>
      </c>
      <c r="N870" s="4">
        <f>I870/J870</f>
        <v>1.0010802469135802</v>
      </c>
    </row>
    <row r="871" spans="1:14" x14ac:dyDescent="0.3">
      <c r="A871" s="29">
        <v>46086</v>
      </c>
      <c r="B871" s="8">
        <f>YEAR(A871)</f>
        <v>2026</v>
      </c>
      <c r="C871" s="27" t="str">
        <f>TEXT(A871,"MMMM")</f>
        <v>março</v>
      </c>
      <c r="D871" s="30" t="s">
        <v>76</v>
      </c>
      <c r="E871" s="30" t="s">
        <v>21</v>
      </c>
      <c r="F871" s="31">
        <v>5.9270833333333335E-2</v>
      </c>
      <c r="G871" s="31">
        <v>0.38453703703703701</v>
      </c>
      <c r="H871" s="31">
        <v>0.75049768518518523</v>
      </c>
      <c r="I871" s="43">
        <f>H871-G871</f>
        <v>0.36596064814814822</v>
      </c>
      <c r="J871" s="43">
        <v>0.3</v>
      </c>
      <c r="K871" s="2">
        <f>I871-J871</f>
        <v>6.5960648148148227E-2</v>
      </c>
      <c r="L871" s="3"/>
      <c r="M871" s="4">
        <f>F871/I871</f>
        <v>0.16195958126442958</v>
      </c>
      <c r="N871" s="4">
        <f>I871/J871</f>
        <v>1.2198688271604941</v>
      </c>
    </row>
    <row r="872" spans="1:14" x14ac:dyDescent="0.3">
      <c r="A872" s="29">
        <v>46086</v>
      </c>
      <c r="B872" s="8">
        <f>YEAR(A872)</f>
        <v>2026</v>
      </c>
      <c r="C872" s="27" t="str">
        <f>TEXT(A872,"MMMM")</f>
        <v>março</v>
      </c>
      <c r="D872" s="30" t="s">
        <v>77</v>
      </c>
      <c r="E872" s="30" t="s">
        <v>34</v>
      </c>
      <c r="F872" s="31">
        <v>4.0613425925925928E-2</v>
      </c>
      <c r="G872" s="31">
        <v>0.51550925925925928</v>
      </c>
      <c r="H872" s="31">
        <v>0.75218750000000001</v>
      </c>
      <c r="I872" s="43">
        <f>H872-G872</f>
        <v>0.23667824074074073</v>
      </c>
      <c r="J872" s="43">
        <v>0.3</v>
      </c>
      <c r="K872" s="2"/>
      <c r="L872" s="3">
        <f>J872-I872</f>
        <v>6.3321759259259258E-2</v>
      </c>
      <c r="M872" s="4">
        <f>F872/I872</f>
        <v>0.17159763313609469</v>
      </c>
      <c r="N872" s="4">
        <f>I872/J872</f>
        <v>0.78892746913580247</v>
      </c>
    </row>
    <row r="873" spans="1:14" x14ac:dyDescent="0.3">
      <c r="A873" s="29">
        <v>46086</v>
      </c>
      <c r="B873" s="8">
        <f>YEAR(A873)</f>
        <v>2026</v>
      </c>
      <c r="C873" s="27" t="str">
        <f>TEXT(A873,"MMMM")</f>
        <v>março</v>
      </c>
      <c r="D873" s="30" t="s">
        <v>25</v>
      </c>
      <c r="E873" s="30" t="s">
        <v>21</v>
      </c>
      <c r="F873" s="31">
        <v>4.2488425925925923E-2</v>
      </c>
      <c r="G873" s="31">
        <v>0.33399305555555553</v>
      </c>
      <c r="H873" s="31">
        <v>0.63442129629629629</v>
      </c>
      <c r="I873" s="43">
        <f>H873-G873</f>
        <v>0.30042824074074076</v>
      </c>
      <c r="J873" s="43">
        <v>0.3</v>
      </c>
      <c r="K873" s="2">
        <f>I873-J873</f>
        <v>4.2824074074077068E-4</v>
      </c>
      <c r="L873" s="3"/>
      <c r="M873" s="4">
        <f>F873/I873</f>
        <v>0.14142620487729704</v>
      </c>
      <c r="N873" s="4">
        <f>I873/J873</f>
        <v>1.0014274691358025</v>
      </c>
    </row>
    <row r="874" spans="1:14" x14ac:dyDescent="0.3">
      <c r="A874" s="29">
        <v>46086</v>
      </c>
      <c r="B874" s="8">
        <f>YEAR(A874)</f>
        <v>2026</v>
      </c>
      <c r="C874" s="27" t="str">
        <f>TEXT(A874,"MMMM")</f>
        <v>março</v>
      </c>
      <c r="D874" s="30" t="s">
        <v>26</v>
      </c>
      <c r="E874" s="30" t="s">
        <v>15</v>
      </c>
      <c r="F874" s="31">
        <v>2.9629629629629631E-2</v>
      </c>
      <c r="G874" s="31">
        <v>0.3445023148148148</v>
      </c>
      <c r="H874" s="31">
        <v>0.64202546296296292</v>
      </c>
      <c r="I874" s="43">
        <f>H874-G874</f>
        <v>0.29752314814814812</v>
      </c>
      <c r="J874" s="43">
        <v>0.3</v>
      </c>
      <c r="K874" s="2"/>
      <c r="L874" s="3">
        <f>J874-I874</f>
        <v>2.476851851851869E-3</v>
      </c>
      <c r="M874" s="4">
        <f>F874/I874</f>
        <v>9.9587644907803641E-2</v>
      </c>
      <c r="N874" s="4">
        <f>I874/J874</f>
        <v>0.99174382716049381</v>
      </c>
    </row>
    <row r="875" spans="1:14" x14ac:dyDescent="0.3">
      <c r="A875" s="29">
        <v>46086</v>
      </c>
      <c r="B875" s="8">
        <f>YEAR(A875)</f>
        <v>2026</v>
      </c>
      <c r="C875" s="27" t="str">
        <f>TEXT(A875,"MMMM")</f>
        <v>março</v>
      </c>
      <c r="D875" s="30" t="s">
        <v>68</v>
      </c>
      <c r="E875" s="30" t="s">
        <v>34</v>
      </c>
      <c r="F875" s="31">
        <v>5.872685185185185E-2</v>
      </c>
      <c r="G875" s="31">
        <v>0.45211805555555556</v>
      </c>
      <c r="H875" s="31">
        <v>0.75346064814814817</v>
      </c>
      <c r="I875" s="43">
        <f>H875-G875</f>
        <v>0.30134259259259261</v>
      </c>
      <c r="J875" s="43">
        <v>0.3</v>
      </c>
      <c r="K875" s="2">
        <f>I875-J875</f>
        <v>1.3425925925926174E-3</v>
      </c>
      <c r="L875" s="3"/>
      <c r="M875" s="4">
        <f>F875/I875</f>
        <v>0.19488400675987094</v>
      </c>
      <c r="N875" s="4">
        <f>I875/J875</f>
        <v>1.0044753086419753</v>
      </c>
    </row>
    <row r="876" spans="1:14" x14ac:dyDescent="0.3">
      <c r="A876" s="29">
        <v>46086</v>
      </c>
      <c r="B876" s="8">
        <f>YEAR(A876)</f>
        <v>2026</v>
      </c>
      <c r="C876" s="27" t="str">
        <f>TEXT(A876,"MMMM")</f>
        <v>março</v>
      </c>
      <c r="D876" s="30" t="s">
        <v>32</v>
      </c>
      <c r="E876" s="30" t="s">
        <v>34</v>
      </c>
      <c r="F876" s="31">
        <v>5.3518518518518521E-2</v>
      </c>
      <c r="G876" s="31">
        <v>0.46269675925925924</v>
      </c>
      <c r="H876" s="31">
        <v>0.75050925925925926</v>
      </c>
      <c r="I876" s="43">
        <f>H876-G876</f>
        <v>0.28781250000000003</v>
      </c>
      <c r="J876" s="43">
        <v>0.3</v>
      </c>
      <c r="K876" s="2"/>
      <c r="L876" s="3">
        <f>J876-I876</f>
        <v>1.2187499999999962E-2</v>
      </c>
      <c r="M876" s="4">
        <f>F876/I876</f>
        <v>0.18594925001005347</v>
      </c>
      <c r="N876" s="4">
        <f>I876/J876</f>
        <v>0.95937500000000009</v>
      </c>
    </row>
    <row r="877" spans="1:14" x14ac:dyDescent="0.3">
      <c r="A877" s="29">
        <v>46086</v>
      </c>
      <c r="B877" s="8">
        <f>YEAR(A877)</f>
        <v>2026</v>
      </c>
      <c r="C877" s="27" t="str">
        <f>TEXT(A877,"MMMM")</f>
        <v>março</v>
      </c>
      <c r="D877" s="30" t="s">
        <v>28</v>
      </c>
      <c r="E877" s="30" t="s">
        <v>34</v>
      </c>
      <c r="F877" s="31">
        <v>5.5428240740740743E-2</v>
      </c>
      <c r="G877" s="31">
        <v>0.47740740740740739</v>
      </c>
      <c r="H877" s="31">
        <v>0.7542592592592593</v>
      </c>
      <c r="I877" s="43">
        <f>H877-G877</f>
        <v>0.2768518518518519</v>
      </c>
      <c r="J877" s="43">
        <v>0.3</v>
      </c>
      <c r="K877" s="2"/>
      <c r="L877" s="3">
        <f>J877-I877</f>
        <v>2.3148148148148084E-2</v>
      </c>
      <c r="M877" s="4">
        <f>F877/I877</f>
        <v>0.20020903010033442</v>
      </c>
      <c r="N877" s="4">
        <f>I877/J877</f>
        <v>0.92283950617283972</v>
      </c>
    </row>
    <row r="878" spans="1:14" x14ac:dyDescent="0.3">
      <c r="A878" s="29">
        <v>46086</v>
      </c>
      <c r="B878" s="8">
        <f>YEAR(A878)</f>
        <v>2026</v>
      </c>
      <c r="C878" s="27" t="str">
        <f>TEXT(A878,"MMMM")</f>
        <v>março</v>
      </c>
      <c r="D878" s="30" t="s">
        <v>29</v>
      </c>
      <c r="E878" s="30" t="s">
        <v>34</v>
      </c>
      <c r="F878" s="31">
        <v>5.1689814814814813E-2</v>
      </c>
      <c r="G878" s="31">
        <v>0.3399652777777778</v>
      </c>
      <c r="H878" s="31">
        <v>0.63369212962962962</v>
      </c>
      <c r="I878" s="43">
        <f>H878-G878</f>
        <v>0.29372685185185182</v>
      </c>
      <c r="J878" s="43">
        <v>0.3</v>
      </c>
      <c r="K878" s="2"/>
      <c r="L878" s="3">
        <f>J878-I878</f>
        <v>6.2731481481481666E-3</v>
      </c>
      <c r="M878" s="4">
        <f>F878/I878</f>
        <v>0.17597919457798095</v>
      </c>
      <c r="N878" s="4">
        <f>I878/J878</f>
        <v>0.97908950617283941</v>
      </c>
    </row>
    <row r="879" spans="1:14" x14ac:dyDescent="0.3">
      <c r="A879" s="29">
        <v>46087</v>
      </c>
      <c r="B879" s="8">
        <f>YEAR(A879)</f>
        <v>2026</v>
      </c>
      <c r="C879" s="27" t="str">
        <f>TEXT(A879,"MMMM")</f>
        <v>março</v>
      </c>
      <c r="D879" s="30" t="s">
        <v>16</v>
      </c>
      <c r="E879" s="30" t="s">
        <v>34</v>
      </c>
      <c r="F879" s="31">
        <v>3.8761574074074073E-2</v>
      </c>
      <c r="G879" s="31">
        <v>0.3338888888888889</v>
      </c>
      <c r="H879" s="31">
        <v>0.65493055555555557</v>
      </c>
      <c r="I879" s="43">
        <f>H879-G879</f>
        <v>0.32104166666666667</v>
      </c>
      <c r="J879" s="43">
        <v>0.3</v>
      </c>
      <c r="K879" s="2">
        <f>I879-J879</f>
        <v>2.1041666666666681E-2</v>
      </c>
      <c r="L879" s="3"/>
      <c r="M879" s="4">
        <f>F879/I879</f>
        <v>0.12073689523397504</v>
      </c>
      <c r="N879" s="4">
        <f>I879/J879</f>
        <v>1.070138888888889</v>
      </c>
    </row>
    <row r="880" spans="1:14" x14ac:dyDescent="0.3">
      <c r="A880" s="29">
        <v>46087</v>
      </c>
      <c r="B880" s="8">
        <f>YEAR(A880)</f>
        <v>2026</v>
      </c>
      <c r="C880" s="27" t="str">
        <f>TEXT(A880,"MMMM")</f>
        <v>março</v>
      </c>
      <c r="D880" s="30" t="s">
        <v>19</v>
      </c>
      <c r="E880" s="30" t="s">
        <v>34</v>
      </c>
      <c r="F880" s="31">
        <v>5.2847222222222219E-2</v>
      </c>
      <c r="G880" s="31">
        <v>0.33498842592592593</v>
      </c>
      <c r="H880" s="31">
        <v>0.63501157407407405</v>
      </c>
      <c r="I880" s="43">
        <f>H880-G880</f>
        <v>0.30002314814814812</v>
      </c>
      <c r="J880" s="43">
        <v>0.3</v>
      </c>
      <c r="K880" s="2">
        <f>I880-J880</f>
        <v>2.3148148148133263E-5</v>
      </c>
      <c r="L880" s="3"/>
      <c r="M880" s="4">
        <f>F880/I880</f>
        <v>0.17614381606357535</v>
      </c>
      <c r="N880" s="4">
        <f>I880/J880</f>
        <v>1.0000771604938272</v>
      </c>
    </row>
    <row r="881" spans="1:14" x14ac:dyDescent="0.3">
      <c r="A881" s="29">
        <v>46087</v>
      </c>
      <c r="B881" s="8">
        <f>YEAR(A881)</f>
        <v>2026</v>
      </c>
      <c r="C881" s="27" t="str">
        <f>TEXT(A881,"MMMM")</f>
        <v>março</v>
      </c>
      <c r="D881" s="30" t="s">
        <v>22</v>
      </c>
      <c r="E881" s="30" t="s">
        <v>21</v>
      </c>
      <c r="F881" s="31">
        <v>3.5428240740740739E-2</v>
      </c>
      <c r="G881" s="31">
        <v>0.46179398148148149</v>
      </c>
      <c r="H881" s="31">
        <v>0.75035879629629632</v>
      </c>
      <c r="I881" s="43">
        <f>H881-G881</f>
        <v>0.28856481481481483</v>
      </c>
      <c r="J881" s="43">
        <v>0.3</v>
      </c>
      <c r="K881" s="2"/>
      <c r="L881" s="3">
        <f>J881-I881</f>
        <v>1.1435185185185159E-2</v>
      </c>
      <c r="M881" s="4">
        <f>F881/I881</f>
        <v>0.12277394513075564</v>
      </c>
      <c r="N881" s="4">
        <f>I881/J881</f>
        <v>0.9618827160493828</v>
      </c>
    </row>
    <row r="882" spans="1:14" x14ac:dyDescent="0.3">
      <c r="A882" s="29">
        <v>46087</v>
      </c>
      <c r="B882" s="8">
        <f>YEAR(A882)</f>
        <v>2026</v>
      </c>
      <c r="C882" s="27" t="str">
        <f>TEXT(A882,"MMMM")</f>
        <v>março</v>
      </c>
      <c r="D882" s="30" t="s">
        <v>33</v>
      </c>
      <c r="E882" s="30" t="s">
        <v>34</v>
      </c>
      <c r="F882" s="31">
        <v>3.4351851851851849E-2</v>
      </c>
      <c r="G882" s="31">
        <v>0.33346064814814813</v>
      </c>
      <c r="H882" s="31">
        <v>0.63452546296296297</v>
      </c>
      <c r="I882" s="43">
        <f>H882-G882</f>
        <v>0.30106481481481484</v>
      </c>
      <c r="J882" s="43">
        <v>0.3</v>
      </c>
      <c r="K882" s="2">
        <f>I882-J882</f>
        <v>1.0648148148148517E-3</v>
      </c>
      <c r="L882" s="3"/>
      <c r="M882" s="4">
        <f>F882/I882</f>
        <v>0.11410118406889126</v>
      </c>
      <c r="N882" s="4">
        <f>I882/J882</f>
        <v>1.0035493827160495</v>
      </c>
    </row>
    <row r="883" spans="1:14" x14ac:dyDescent="0.3">
      <c r="A883" s="29">
        <v>46087</v>
      </c>
      <c r="B883" s="8">
        <f>YEAR(A883)</f>
        <v>2026</v>
      </c>
      <c r="C883" s="27" t="str">
        <f>TEXT(A883,"MMMM")</f>
        <v>março</v>
      </c>
      <c r="D883" s="30" t="s">
        <v>76</v>
      </c>
      <c r="E883" s="30" t="s">
        <v>21</v>
      </c>
      <c r="F883" s="31">
        <v>4.0173611111111111E-2</v>
      </c>
      <c r="G883" s="31">
        <v>0.4526736111111111</v>
      </c>
      <c r="H883" s="31">
        <v>0.75099537037037034</v>
      </c>
      <c r="I883" s="43">
        <f>H883-G883</f>
        <v>0.29832175925925924</v>
      </c>
      <c r="J883" s="43">
        <v>0.3</v>
      </c>
      <c r="K883" s="2"/>
      <c r="L883" s="3">
        <f>J883-I883</f>
        <v>1.678240740740744E-3</v>
      </c>
      <c r="M883" s="4">
        <f>F883/I883</f>
        <v>0.13466537342386034</v>
      </c>
      <c r="N883" s="4">
        <f>I883/J883</f>
        <v>0.99440586419753085</v>
      </c>
    </row>
    <row r="884" spans="1:14" x14ac:dyDescent="0.3">
      <c r="A884" s="29">
        <v>46087</v>
      </c>
      <c r="B884" s="8">
        <f>YEAR(A884)</f>
        <v>2026</v>
      </c>
      <c r="C884" s="27" t="str">
        <f>TEXT(A884,"MMMM")</f>
        <v>março</v>
      </c>
      <c r="D884" s="30" t="s">
        <v>77</v>
      </c>
      <c r="E884" s="30" t="s">
        <v>34</v>
      </c>
      <c r="F884" s="31">
        <v>3.0393518518518518E-2</v>
      </c>
      <c r="G884" s="31">
        <v>0.45106481481481481</v>
      </c>
      <c r="H884" s="31">
        <v>0.750462962962963</v>
      </c>
      <c r="I884" s="43">
        <f>H884-G884</f>
        <v>0.29939814814814819</v>
      </c>
      <c r="J884" s="43">
        <v>0.3</v>
      </c>
      <c r="K884" s="2"/>
      <c r="L884" s="3">
        <f>J884-I884</f>
        <v>6.018518518517979E-4</v>
      </c>
      <c r="M884" s="4">
        <f>F884/I884</f>
        <v>0.1015153858048554</v>
      </c>
      <c r="N884" s="4">
        <f>I884/J884</f>
        <v>0.99799382716049401</v>
      </c>
    </row>
    <row r="885" spans="1:14" x14ac:dyDescent="0.3">
      <c r="A885" s="29">
        <v>46087</v>
      </c>
      <c r="B885" s="8">
        <f>YEAR(A885)</f>
        <v>2026</v>
      </c>
      <c r="C885" s="27" t="str">
        <f>TEXT(A885,"MMMM")</f>
        <v>março</v>
      </c>
      <c r="D885" s="30" t="s">
        <v>25</v>
      </c>
      <c r="E885" s="30" t="s">
        <v>21</v>
      </c>
      <c r="F885" s="31">
        <v>4.7303240740740743E-2</v>
      </c>
      <c r="G885" s="31">
        <v>0.3336689814814815</v>
      </c>
      <c r="H885" s="31">
        <v>0.63369212962962962</v>
      </c>
      <c r="I885" s="43">
        <f>H885-G885</f>
        <v>0.30002314814814812</v>
      </c>
      <c r="J885" s="43">
        <v>0.3</v>
      </c>
      <c r="K885" s="2">
        <f>I885-J885</f>
        <v>2.3148148148133263E-5</v>
      </c>
      <c r="L885" s="3"/>
      <c r="M885" s="4">
        <f>F885/I885</f>
        <v>0.15766530360311706</v>
      </c>
      <c r="N885" s="4">
        <f>I885/J885</f>
        <v>1.0000771604938272</v>
      </c>
    </row>
    <row r="886" spans="1:14" x14ac:dyDescent="0.3">
      <c r="A886" s="29">
        <v>46087</v>
      </c>
      <c r="B886" s="8">
        <f>YEAR(A886)</f>
        <v>2026</v>
      </c>
      <c r="C886" s="27" t="str">
        <f>TEXT(A886,"MMMM")</f>
        <v>março</v>
      </c>
      <c r="D886" s="30" t="s">
        <v>26</v>
      </c>
      <c r="E886" s="30" t="s">
        <v>15</v>
      </c>
      <c r="F886" s="31">
        <v>5.2592592592592594E-2</v>
      </c>
      <c r="G886" s="31">
        <v>0.33978009259259262</v>
      </c>
      <c r="H886" s="31">
        <v>0.63612268518518522</v>
      </c>
      <c r="I886" s="43">
        <f>H886-G886</f>
        <v>0.2963425925925926</v>
      </c>
      <c r="J886" s="43">
        <v>0.3</v>
      </c>
      <c r="K886" s="2"/>
      <c r="L886" s="3">
        <f>J886-I886</f>
        <v>3.657407407407387E-3</v>
      </c>
      <c r="M886" s="4">
        <f>F886/I886</f>
        <v>0.17747226995781909</v>
      </c>
      <c r="N886" s="4">
        <f>I886/J886</f>
        <v>0.98780864197530871</v>
      </c>
    </row>
    <row r="887" spans="1:14" x14ac:dyDescent="0.3">
      <c r="A887" s="29">
        <v>46087</v>
      </c>
      <c r="B887" s="8">
        <f>YEAR(A887)</f>
        <v>2026</v>
      </c>
      <c r="C887" s="27" t="str">
        <f>TEXT(A887,"MMMM")</f>
        <v>março</v>
      </c>
      <c r="D887" s="30" t="s">
        <v>68</v>
      </c>
      <c r="E887" s="30" t="s">
        <v>34</v>
      </c>
      <c r="F887" s="31">
        <v>6.0023148148148145E-2</v>
      </c>
      <c r="G887" s="31">
        <v>0.45207175925925924</v>
      </c>
      <c r="H887" s="31">
        <v>0.7509837962962963</v>
      </c>
      <c r="I887" s="43">
        <f>H887-G887</f>
        <v>0.29891203703703706</v>
      </c>
      <c r="J887" s="43">
        <v>0.3</v>
      </c>
      <c r="K887" s="2"/>
      <c r="L887" s="3">
        <f>J887-I887</f>
        <v>1.0879629629629295E-3</v>
      </c>
      <c r="M887" s="4">
        <f>F887/I887</f>
        <v>0.20080538991713776</v>
      </c>
      <c r="N887" s="4">
        <f>I887/J887</f>
        <v>0.99637345679012357</v>
      </c>
    </row>
    <row r="888" spans="1:14" x14ac:dyDescent="0.3">
      <c r="A888" s="29">
        <v>46087</v>
      </c>
      <c r="B888" s="8">
        <f>YEAR(A888)</f>
        <v>2026</v>
      </c>
      <c r="C888" s="27" t="str">
        <f>TEXT(A888,"MMMM")</f>
        <v>março</v>
      </c>
      <c r="D888" s="30" t="s">
        <v>32</v>
      </c>
      <c r="E888" s="30" t="s">
        <v>34</v>
      </c>
      <c r="F888" s="31">
        <v>4.0034722222222222E-2</v>
      </c>
      <c r="G888" s="31">
        <v>0.45157407407407407</v>
      </c>
      <c r="H888" s="31">
        <v>0.75053240740740745</v>
      </c>
      <c r="I888" s="43">
        <f>H888-G888</f>
        <v>0.29895833333333338</v>
      </c>
      <c r="J888" s="43">
        <v>0.3</v>
      </c>
      <c r="K888" s="2"/>
      <c r="L888" s="3">
        <f>J888-I888</f>
        <v>1.0416666666666075E-3</v>
      </c>
      <c r="M888" s="4">
        <f>F888/I888</f>
        <v>0.13391405342624851</v>
      </c>
      <c r="N888" s="4">
        <f>I888/J888</f>
        <v>0.99652777777777801</v>
      </c>
    </row>
    <row r="889" spans="1:14" x14ac:dyDescent="0.3">
      <c r="A889" s="29">
        <v>46087</v>
      </c>
      <c r="B889" s="8">
        <f>YEAR(A889)</f>
        <v>2026</v>
      </c>
      <c r="C889" s="27" t="str">
        <f>TEXT(A889,"MMMM")</f>
        <v>março</v>
      </c>
      <c r="D889" s="30" t="s">
        <v>28</v>
      </c>
      <c r="E889" s="30" t="s">
        <v>34</v>
      </c>
      <c r="F889" s="31">
        <v>5.1574074074074071E-2</v>
      </c>
      <c r="G889" s="31">
        <v>0.47104166666666669</v>
      </c>
      <c r="H889" s="31">
        <v>0.7507638888888889</v>
      </c>
      <c r="I889" s="43">
        <f>H889-G889</f>
        <v>0.27972222222222221</v>
      </c>
      <c r="J889" s="43">
        <v>0.3</v>
      </c>
      <c r="K889" s="2"/>
      <c r="L889" s="3">
        <f>J889-I889</f>
        <v>2.0277777777777783E-2</v>
      </c>
      <c r="M889" s="4">
        <f>F889/I889</f>
        <v>0.18437603442568687</v>
      </c>
      <c r="N889" s="4">
        <f>I889/J889</f>
        <v>0.93240740740740735</v>
      </c>
    </row>
    <row r="890" spans="1:14" x14ac:dyDescent="0.3">
      <c r="A890" s="29">
        <v>46087</v>
      </c>
      <c r="B890" s="8">
        <f>YEAR(A890)</f>
        <v>2026</v>
      </c>
      <c r="C890" s="27" t="str">
        <f>TEXT(A890,"MMMM")</f>
        <v>março</v>
      </c>
      <c r="D890" s="30" t="s">
        <v>29</v>
      </c>
      <c r="E890" s="30" t="s">
        <v>34</v>
      </c>
      <c r="F890" s="31">
        <v>4.1331018518518517E-2</v>
      </c>
      <c r="G890" s="31">
        <v>0.36569444444444443</v>
      </c>
      <c r="H890" s="31">
        <v>0.63412037037037039</v>
      </c>
      <c r="I890" s="43">
        <f>H890-G890</f>
        <v>0.26842592592592596</v>
      </c>
      <c r="J890" s="43">
        <v>0.3</v>
      </c>
      <c r="K890" s="2"/>
      <c r="L890" s="3">
        <f>J890-I890</f>
        <v>3.1574074074074032E-2</v>
      </c>
      <c r="M890" s="4">
        <f>F890/I890</f>
        <v>0.15397550879613658</v>
      </c>
      <c r="N890" s="4">
        <f>I890/J890</f>
        <v>0.89475308641975326</v>
      </c>
    </row>
    <row r="891" spans="1:14" x14ac:dyDescent="0.3">
      <c r="A891" s="29">
        <v>46090</v>
      </c>
      <c r="B891" s="8">
        <f>YEAR(A891)</f>
        <v>2026</v>
      </c>
      <c r="C891" s="27" t="str">
        <f>TEXT(A891,"MMMM")</f>
        <v>março</v>
      </c>
      <c r="D891" s="30" t="s">
        <v>16</v>
      </c>
      <c r="E891" s="30" t="s">
        <v>34</v>
      </c>
      <c r="F891" s="31">
        <v>2.6180555555555554E-2</v>
      </c>
      <c r="G891" s="31">
        <v>0.39258101851851851</v>
      </c>
      <c r="H891" s="31">
        <v>0.63392361111111106</v>
      </c>
      <c r="I891" s="43">
        <f>H891-G891</f>
        <v>0.24134259259259255</v>
      </c>
      <c r="J891" s="43">
        <v>0.3</v>
      </c>
      <c r="K891" s="2"/>
      <c r="L891" s="3">
        <f>J891-I891</f>
        <v>5.8657407407407436E-2</v>
      </c>
      <c r="M891" s="4">
        <f>F891/I891</f>
        <v>0.10847880299251872</v>
      </c>
      <c r="N891" s="4">
        <f>I891/J891</f>
        <v>0.80447530864197525</v>
      </c>
    </row>
    <row r="892" spans="1:14" x14ac:dyDescent="0.3">
      <c r="A892" s="29">
        <v>46090</v>
      </c>
      <c r="B892" s="8">
        <f>YEAR(A892)</f>
        <v>2026</v>
      </c>
      <c r="C892" s="27" t="str">
        <f>TEXT(A892,"MMMM")</f>
        <v>março</v>
      </c>
      <c r="D892" s="30" t="s">
        <v>47</v>
      </c>
      <c r="E892" s="30" t="s">
        <v>34</v>
      </c>
      <c r="F892" s="31">
        <v>5.347222222222222E-2</v>
      </c>
      <c r="G892" s="31">
        <v>0.51202546296296292</v>
      </c>
      <c r="H892" s="31">
        <v>0.75071759259259263</v>
      </c>
      <c r="I892" s="43">
        <f>H892-G892</f>
        <v>0.23869212962962971</v>
      </c>
      <c r="J892" s="43">
        <v>0.25</v>
      </c>
      <c r="K892" s="2"/>
      <c r="L892" s="3">
        <f>J892-I892</f>
        <v>1.1307870370370288E-2</v>
      </c>
      <c r="M892" s="4">
        <f>F892/I892</f>
        <v>0.22402172331862474</v>
      </c>
      <c r="N892" s="4">
        <f>I892/J892</f>
        <v>0.95476851851851885</v>
      </c>
    </row>
    <row r="893" spans="1:14" x14ac:dyDescent="0.3">
      <c r="A893" s="29">
        <v>46090</v>
      </c>
      <c r="B893" s="8">
        <f>YEAR(A893)</f>
        <v>2026</v>
      </c>
      <c r="C893" s="27" t="str">
        <f>TEXT(A893,"MMMM")</f>
        <v>março</v>
      </c>
      <c r="D893" s="30" t="s">
        <v>18</v>
      </c>
      <c r="E893" s="30" t="s">
        <v>34</v>
      </c>
      <c r="F893" s="31">
        <v>3.3379629629629627E-2</v>
      </c>
      <c r="G893" s="31">
        <v>0.37662037037037038</v>
      </c>
      <c r="H893" s="31">
        <v>0.72589120370370375</v>
      </c>
      <c r="I893" s="43">
        <f>H893-G893</f>
        <v>0.34927083333333336</v>
      </c>
      <c r="J893" s="43">
        <v>0.3</v>
      </c>
      <c r="K893" s="2">
        <f>I893-J893</f>
        <v>4.9270833333333375E-2</v>
      </c>
      <c r="L893" s="3"/>
      <c r="M893" s="4">
        <f>F893/I893</f>
        <v>9.5569473440037092E-2</v>
      </c>
      <c r="N893" s="4">
        <f>I893/J893</f>
        <v>1.1642361111111112</v>
      </c>
    </row>
    <row r="894" spans="1:14" x14ac:dyDescent="0.3">
      <c r="A894" s="29">
        <v>46090</v>
      </c>
      <c r="B894" s="8">
        <f>YEAR(A894)</f>
        <v>2026</v>
      </c>
      <c r="C894" s="27" t="str">
        <f>TEXT(A894,"MMMM")</f>
        <v>março</v>
      </c>
      <c r="D894" s="30" t="s">
        <v>19</v>
      </c>
      <c r="E894" s="30" t="s">
        <v>34</v>
      </c>
      <c r="F894" s="31">
        <v>6.1631944444444448E-2</v>
      </c>
      <c r="G894" s="31">
        <v>0.33187499999999998</v>
      </c>
      <c r="H894" s="31">
        <v>0.63408564814814816</v>
      </c>
      <c r="I894" s="43">
        <f>H894-G894</f>
        <v>0.30221064814814819</v>
      </c>
      <c r="J894" s="43">
        <v>0.3</v>
      </c>
      <c r="K894" s="2">
        <f>I894-J894</f>
        <v>2.2106481481481977E-3</v>
      </c>
      <c r="L894" s="3"/>
      <c r="M894" s="4">
        <f>F894/I894</f>
        <v>0.20393703802994906</v>
      </c>
      <c r="N894" s="4">
        <f>I894/J894</f>
        <v>1.0073688271604939</v>
      </c>
    </row>
    <row r="895" spans="1:14" x14ac:dyDescent="0.3">
      <c r="A895" s="29">
        <v>46090</v>
      </c>
      <c r="B895" s="8">
        <f>YEAR(A895)</f>
        <v>2026</v>
      </c>
      <c r="C895" s="27" t="str">
        <f>TEXT(A895,"MMMM")</f>
        <v>março</v>
      </c>
      <c r="D895" s="30" t="s">
        <v>69</v>
      </c>
      <c r="E895" s="30" t="s">
        <v>34</v>
      </c>
      <c r="F895" s="31">
        <v>4.3090277777777776E-2</v>
      </c>
      <c r="G895" s="31">
        <v>0.33423611111111112</v>
      </c>
      <c r="H895" s="31">
        <v>0.63373842592592589</v>
      </c>
      <c r="I895" s="43">
        <f>H895-G895</f>
        <v>0.29950231481481476</v>
      </c>
      <c r="J895" s="43">
        <v>0.3</v>
      </c>
      <c r="K895" s="2"/>
      <c r="L895" s="3">
        <f>J895-I895</f>
        <v>4.9768518518522598E-4</v>
      </c>
      <c r="M895" s="4">
        <f>F895/I895</f>
        <v>0.14387293735749895</v>
      </c>
      <c r="N895" s="4">
        <f>I895/J895</f>
        <v>0.99834104938271595</v>
      </c>
    </row>
    <row r="896" spans="1:14" x14ac:dyDescent="0.3">
      <c r="A896" s="29">
        <v>46090</v>
      </c>
      <c r="B896" s="8">
        <f>YEAR(A896)</f>
        <v>2026</v>
      </c>
      <c r="C896" s="27" t="str">
        <f>TEXT(A896,"MMMM")</f>
        <v>março</v>
      </c>
      <c r="D896" s="30" t="s">
        <v>22</v>
      </c>
      <c r="E896" s="30" t="s">
        <v>21</v>
      </c>
      <c r="F896" s="31">
        <v>4.221064814814815E-2</v>
      </c>
      <c r="G896" s="31">
        <v>0.43515046296296295</v>
      </c>
      <c r="H896" s="31">
        <v>0.75033564814814813</v>
      </c>
      <c r="I896" s="43">
        <f>H896-G896</f>
        <v>0.31518518518518518</v>
      </c>
      <c r="J896" s="43">
        <v>0.3</v>
      </c>
      <c r="K896" s="2">
        <f>I896-J896</f>
        <v>1.518518518518519E-2</v>
      </c>
      <c r="L896" s="3"/>
      <c r="M896" s="4">
        <f>F896/I896</f>
        <v>0.13392332549941247</v>
      </c>
      <c r="N896" s="4">
        <f>I896/J896</f>
        <v>1.0506172839506174</v>
      </c>
    </row>
    <row r="897" spans="1:14" x14ac:dyDescent="0.3">
      <c r="A897" s="29">
        <v>46090</v>
      </c>
      <c r="B897" s="8">
        <f>YEAR(A897)</f>
        <v>2026</v>
      </c>
      <c r="C897" s="27" t="str">
        <f>TEXT(A897,"MMMM")</f>
        <v>março</v>
      </c>
      <c r="D897" s="30" t="s">
        <v>33</v>
      </c>
      <c r="E897" s="30" t="s">
        <v>34</v>
      </c>
      <c r="F897" s="31">
        <v>3.4594907407407408E-2</v>
      </c>
      <c r="G897" s="31">
        <v>0.33212962962962961</v>
      </c>
      <c r="H897" s="31">
        <v>0.63450231481481478</v>
      </c>
      <c r="I897" s="43">
        <f>H897-G897</f>
        <v>0.30237268518518517</v>
      </c>
      <c r="J897" s="43">
        <v>0.3</v>
      </c>
      <c r="K897" s="2">
        <f>I897-J897</f>
        <v>2.372685185185186E-3</v>
      </c>
      <c r="L897" s="3"/>
      <c r="M897" s="4">
        <f>F897/I897</f>
        <v>0.11441148325358852</v>
      </c>
      <c r="N897" s="4">
        <f>I897/J897</f>
        <v>1.007908950617284</v>
      </c>
    </row>
    <row r="898" spans="1:14" x14ac:dyDescent="0.3">
      <c r="A898" s="29">
        <v>46090</v>
      </c>
      <c r="B898" s="8">
        <f>YEAR(A898)</f>
        <v>2026</v>
      </c>
      <c r="C898" s="27" t="str">
        <f>TEXT(A898,"MMMM")</f>
        <v>março</v>
      </c>
      <c r="D898" s="30" t="s">
        <v>76</v>
      </c>
      <c r="E898" s="30" t="s">
        <v>21</v>
      </c>
      <c r="F898" s="31">
        <v>4.1909722222222223E-2</v>
      </c>
      <c r="G898" s="31">
        <v>0.45196759259259262</v>
      </c>
      <c r="H898" s="31">
        <v>0.75071759259259263</v>
      </c>
      <c r="I898" s="43">
        <f>H898-G898</f>
        <v>0.29875000000000002</v>
      </c>
      <c r="J898" s="43">
        <v>0.3</v>
      </c>
      <c r="K898" s="2"/>
      <c r="L898" s="3">
        <f>J898-I898</f>
        <v>1.2499999999999734E-3</v>
      </c>
      <c r="M898" s="4">
        <f>F898/I898</f>
        <v>0.14028358902835891</v>
      </c>
      <c r="N898" s="4">
        <f>I898/J898</f>
        <v>0.99583333333333346</v>
      </c>
    </row>
    <row r="899" spans="1:14" x14ac:dyDescent="0.3">
      <c r="A899" s="29">
        <v>46090</v>
      </c>
      <c r="B899" s="8">
        <f>YEAR(A899)</f>
        <v>2026</v>
      </c>
      <c r="C899" s="27" t="str">
        <f>TEXT(A899,"MMMM")</f>
        <v>março</v>
      </c>
      <c r="D899" s="30" t="s">
        <v>77</v>
      </c>
      <c r="E899" s="30" t="s">
        <v>34</v>
      </c>
      <c r="F899" s="31">
        <v>2.8206018518518519E-2</v>
      </c>
      <c r="G899" s="31">
        <v>0.45951388888888889</v>
      </c>
      <c r="H899" s="31">
        <v>0.75063657407407403</v>
      </c>
      <c r="I899" s="43">
        <f>H899-G899</f>
        <v>0.29112268518518514</v>
      </c>
      <c r="J899" s="43">
        <v>0.3</v>
      </c>
      <c r="K899" s="2"/>
      <c r="L899" s="3">
        <f>J899-I899</f>
        <v>8.8773148148148517E-3</v>
      </c>
      <c r="M899" s="4">
        <f>F899/I899</f>
        <v>9.6887051246372216E-2</v>
      </c>
      <c r="N899" s="4">
        <f>I899/J899</f>
        <v>0.97040895061728383</v>
      </c>
    </row>
    <row r="900" spans="1:14" x14ac:dyDescent="0.3">
      <c r="A900" s="29">
        <v>46090</v>
      </c>
      <c r="B900" s="8">
        <f>YEAR(A900)</f>
        <v>2026</v>
      </c>
      <c r="C900" s="27" t="str">
        <f>TEXT(A900,"MMMM")</f>
        <v>março</v>
      </c>
      <c r="D900" s="30" t="s">
        <v>25</v>
      </c>
      <c r="E900" s="30" t="s">
        <v>21</v>
      </c>
      <c r="F900" s="31">
        <v>5.002314814814815E-2</v>
      </c>
      <c r="G900" s="31">
        <v>0.33481481481481479</v>
      </c>
      <c r="H900" s="31">
        <v>0.63366898148148143</v>
      </c>
      <c r="I900" s="43">
        <f>H900-G900</f>
        <v>0.29885416666666664</v>
      </c>
      <c r="J900" s="43">
        <v>0.3</v>
      </c>
      <c r="K900" s="2"/>
      <c r="L900" s="3">
        <f>J900-I900</f>
        <v>1.1458333333333459E-3</v>
      </c>
      <c r="M900" s="4">
        <f>F900/I900</f>
        <v>0.16738313775609001</v>
      </c>
      <c r="N900" s="4">
        <f>I900/J900</f>
        <v>0.99618055555555551</v>
      </c>
    </row>
    <row r="901" spans="1:14" x14ac:dyDescent="0.3">
      <c r="A901" s="29">
        <v>46090</v>
      </c>
      <c r="B901" s="8">
        <f>YEAR(A901)</f>
        <v>2026</v>
      </c>
      <c r="C901" s="27" t="str">
        <f>TEXT(A901,"MMMM")</f>
        <v>março</v>
      </c>
      <c r="D901" s="30" t="s">
        <v>26</v>
      </c>
      <c r="E901" s="30" t="s">
        <v>15</v>
      </c>
      <c r="F901" s="31">
        <v>3.2638888888888891E-2</v>
      </c>
      <c r="G901" s="31">
        <v>0.3376851851851852</v>
      </c>
      <c r="H901" s="31">
        <v>0.63869212962962962</v>
      </c>
      <c r="I901" s="43">
        <f>H901-G901</f>
        <v>0.30100694444444442</v>
      </c>
      <c r="J901" s="43">
        <v>0.3</v>
      </c>
      <c r="K901" s="2">
        <f>I901-J901</f>
        <v>1.0069444444444353E-3</v>
      </c>
      <c r="L901" s="3"/>
      <c r="M901" s="4">
        <f>F901/I901</f>
        <v>0.10843234513784751</v>
      </c>
      <c r="N901" s="4">
        <f>I901/J901</f>
        <v>1.0033564814814815</v>
      </c>
    </row>
    <row r="902" spans="1:14" x14ac:dyDescent="0.3">
      <c r="A902" s="29">
        <v>46090</v>
      </c>
      <c r="B902" s="8">
        <f>YEAR(A902)</f>
        <v>2026</v>
      </c>
      <c r="C902" s="27" t="str">
        <f>TEXT(A902,"MMMM")</f>
        <v>março</v>
      </c>
      <c r="D902" s="30" t="s">
        <v>32</v>
      </c>
      <c r="E902" s="30" t="s">
        <v>34</v>
      </c>
      <c r="F902" s="31">
        <v>4.2233796296296297E-2</v>
      </c>
      <c r="G902" s="31">
        <v>0.44962962962962966</v>
      </c>
      <c r="H902" s="31">
        <v>0.75013888888888891</v>
      </c>
      <c r="I902" s="43">
        <f>H902-G902</f>
        <v>0.30050925925925925</v>
      </c>
      <c r="J902" s="43">
        <v>0.3</v>
      </c>
      <c r="K902" s="2">
        <f>I902-J902</f>
        <v>5.0925925925926485E-4</v>
      </c>
      <c r="L902" s="3"/>
      <c r="M902" s="4">
        <f>F902/I902</f>
        <v>0.1405407487290094</v>
      </c>
      <c r="N902" s="4">
        <f>I902/J902</f>
        <v>1.0016975308641975</v>
      </c>
    </row>
    <row r="903" spans="1:14" x14ac:dyDescent="0.3">
      <c r="A903" s="29">
        <v>46090</v>
      </c>
      <c r="B903" s="8">
        <f>YEAR(A903)</f>
        <v>2026</v>
      </c>
      <c r="C903" s="27" t="str">
        <f>TEXT(A903,"MMMM")</f>
        <v>março</v>
      </c>
      <c r="D903" s="30" t="s">
        <v>29</v>
      </c>
      <c r="E903" s="30" t="s">
        <v>34</v>
      </c>
      <c r="F903" s="31">
        <v>3.7326388888888888E-2</v>
      </c>
      <c r="G903" s="31">
        <v>0.3662037037037037</v>
      </c>
      <c r="H903" s="31">
        <v>0.63373842592592589</v>
      </c>
      <c r="I903" s="43">
        <f>H903-G903</f>
        <v>0.26753472222222219</v>
      </c>
      <c r="J903" s="43">
        <v>0.3</v>
      </c>
      <c r="K903" s="2"/>
      <c r="L903" s="3">
        <f>J903-I903</f>
        <v>3.2465277777777801E-2</v>
      </c>
      <c r="M903" s="4">
        <f>F903/I903</f>
        <v>0.13951979234263467</v>
      </c>
      <c r="N903" s="4">
        <f>I903/J903</f>
        <v>0.89178240740740733</v>
      </c>
    </row>
    <row r="904" spans="1:14" x14ac:dyDescent="0.3">
      <c r="A904" s="29">
        <v>46091</v>
      </c>
      <c r="B904" s="8">
        <f>YEAR(A904)</f>
        <v>2026</v>
      </c>
      <c r="C904" s="27" t="str">
        <f>TEXT(A904,"MMMM")</f>
        <v>março</v>
      </c>
      <c r="D904" s="30" t="s">
        <v>47</v>
      </c>
      <c r="E904" s="30" t="s">
        <v>34</v>
      </c>
      <c r="F904" s="31">
        <v>5.0868055555555555E-2</v>
      </c>
      <c r="G904" s="31">
        <v>0.51087962962962963</v>
      </c>
      <c r="H904" s="31">
        <v>0.75020833333333337</v>
      </c>
      <c r="I904" s="43">
        <f>H904-G904</f>
        <v>0.23932870370370374</v>
      </c>
      <c r="J904" s="43">
        <v>0.25</v>
      </c>
      <c r="K904" s="2"/>
      <c r="L904" s="3">
        <f>J904-I904</f>
        <v>1.0671296296296262E-2</v>
      </c>
      <c r="M904" s="4">
        <f>F904/I904</f>
        <v>0.21254473353322367</v>
      </c>
      <c r="N904" s="4">
        <f>I904/J904</f>
        <v>0.95731481481481495</v>
      </c>
    </row>
    <row r="905" spans="1:14" x14ac:dyDescent="0.3">
      <c r="A905" s="29">
        <v>46091</v>
      </c>
      <c r="B905" s="8">
        <f>YEAR(A905)</f>
        <v>2026</v>
      </c>
      <c r="C905" s="27" t="str">
        <f>TEXT(A905,"MMMM")</f>
        <v>março</v>
      </c>
      <c r="D905" s="30" t="s">
        <v>18</v>
      </c>
      <c r="E905" s="30" t="s">
        <v>34</v>
      </c>
      <c r="F905" s="31">
        <v>4.7523148148148148E-2</v>
      </c>
      <c r="G905" s="31">
        <v>0.33858796296296295</v>
      </c>
      <c r="H905" s="31">
        <v>0.74916666666666665</v>
      </c>
      <c r="I905" s="43">
        <f>H905-G905</f>
        <v>0.4105787037037037</v>
      </c>
      <c r="J905" s="43">
        <v>0.3</v>
      </c>
      <c r="K905" s="2">
        <f>I905-J905</f>
        <v>0.11057870370370371</v>
      </c>
      <c r="L905" s="3"/>
      <c r="M905" s="4">
        <f>F905/I905</f>
        <v>0.11574674409426622</v>
      </c>
      <c r="N905" s="4">
        <f>I905/J905</f>
        <v>1.3685956790123457</v>
      </c>
    </row>
    <row r="906" spans="1:14" x14ac:dyDescent="0.3">
      <c r="A906" s="29">
        <v>46091</v>
      </c>
      <c r="B906" s="8">
        <f>YEAR(A906)</f>
        <v>2026</v>
      </c>
      <c r="C906" s="27" t="str">
        <f>TEXT(A906,"MMMM")</f>
        <v>março</v>
      </c>
      <c r="D906" s="30" t="s">
        <v>19</v>
      </c>
      <c r="E906" s="30" t="s">
        <v>34</v>
      </c>
      <c r="F906" s="31">
        <v>5.9930555555555556E-2</v>
      </c>
      <c r="G906" s="31">
        <v>0.33557870370370368</v>
      </c>
      <c r="H906" s="31">
        <v>0.63347222222222221</v>
      </c>
      <c r="I906" s="43">
        <f>H906-G906</f>
        <v>0.29789351851851853</v>
      </c>
      <c r="J906" s="43">
        <v>0.3</v>
      </c>
      <c r="K906" s="2"/>
      <c r="L906" s="3">
        <f>J906-I906</f>
        <v>2.1064814814814592E-3</v>
      </c>
      <c r="M906" s="4">
        <f>F906/I906</f>
        <v>0.20118113295516357</v>
      </c>
      <c r="N906" s="4">
        <f>I906/J906</f>
        <v>0.99297839506172847</v>
      </c>
    </row>
    <row r="907" spans="1:14" x14ac:dyDescent="0.3">
      <c r="A907" s="29">
        <v>46091</v>
      </c>
      <c r="B907" s="8">
        <f>YEAR(A907)</f>
        <v>2026</v>
      </c>
      <c r="C907" s="27" t="str">
        <f>TEXT(A907,"MMMM")</f>
        <v>março</v>
      </c>
      <c r="D907" s="30" t="s">
        <v>69</v>
      </c>
      <c r="E907" s="30" t="s">
        <v>34</v>
      </c>
      <c r="F907" s="31">
        <v>5.0046296296296297E-2</v>
      </c>
      <c r="G907" s="31">
        <v>0.33506944444444442</v>
      </c>
      <c r="H907" s="31">
        <v>0.63444444444444448</v>
      </c>
      <c r="I907" s="43">
        <f>H907-G907</f>
        <v>0.29937500000000006</v>
      </c>
      <c r="J907" s="43">
        <v>0.3</v>
      </c>
      <c r="K907" s="2"/>
      <c r="L907" s="3">
        <f>J907-I907</f>
        <v>6.2499999999993117E-4</v>
      </c>
      <c r="M907" s="4">
        <f>F907/I907</f>
        <v>0.16716925693961182</v>
      </c>
      <c r="N907" s="4">
        <f>I907/J907</f>
        <v>0.9979166666666669</v>
      </c>
    </row>
    <row r="908" spans="1:14" x14ac:dyDescent="0.3">
      <c r="A908" s="29">
        <v>46091</v>
      </c>
      <c r="B908" s="8">
        <f>YEAR(A908)</f>
        <v>2026</v>
      </c>
      <c r="C908" s="27" t="str">
        <f>TEXT(A908,"MMMM")</f>
        <v>março</v>
      </c>
      <c r="D908" s="30" t="s">
        <v>22</v>
      </c>
      <c r="E908" s="30" t="s">
        <v>21</v>
      </c>
      <c r="F908" s="31">
        <v>4.3923611111111108E-2</v>
      </c>
      <c r="G908" s="31">
        <v>0.44959490740740743</v>
      </c>
      <c r="H908" s="31">
        <v>0.75163194444444448</v>
      </c>
      <c r="I908" s="43">
        <f>H908-G908</f>
        <v>0.30203703703703705</v>
      </c>
      <c r="J908" s="43">
        <v>0.3</v>
      </c>
      <c r="K908" s="2">
        <f>I908-J908</f>
        <v>2.0370370370370594E-3</v>
      </c>
      <c r="L908" s="3"/>
      <c r="M908" s="4">
        <f>F908/I908</f>
        <v>0.14542458614347026</v>
      </c>
      <c r="N908" s="4">
        <f>I908/J908</f>
        <v>1.0067901234567902</v>
      </c>
    </row>
    <row r="909" spans="1:14" x14ac:dyDescent="0.3">
      <c r="A909" s="29">
        <v>46091</v>
      </c>
      <c r="B909" s="8">
        <f>YEAR(A909)</f>
        <v>2026</v>
      </c>
      <c r="C909" s="27" t="str">
        <f>TEXT(A909,"MMMM")</f>
        <v>março</v>
      </c>
      <c r="D909" s="30" t="s">
        <v>33</v>
      </c>
      <c r="E909" s="30" t="s">
        <v>34</v>
      </c>
      <c r="F909" s="31">
        <v>5.4780092592592596E-2</v>
      </c>
      <c r="G909" s="31">
        <v>0.33307870370370368</v>
      </c>
      <c r="H909" s="31">
        <v>0.63381944444444449</v>
      </c>
      <c r="I909" s="43">
        <f>H909-G909</f>
        <v>0.30074074074074081</v>
      </c>
      <c r="J909" s="43">
        <v>0.3</v>
      </c>
      <c r="K909" s="2">
        <f>I909-J909</f>
        <v>7.4074074074081953E-4</v>
      </c>
      <c r="L909" s="3"/>
      <c r="M909" s="4">
        <f>F909/I909</f>
        <v>0.18215055418719209</v>
      </c>
      <c r="N909" s="4">
        <f>I909/J909</f>
        <v>1.0024691358024693</v>
      </c>
    </row>
    <row r="910" spans="1:14" x14ac:dyDescent="0.3">
      <c r="A910" s="29">
        <v>46091</v>
      </c>
      <c r="B910" s="8">
        <f>YEAR(A910)</f>
        <v>2026</v>
      </c>
      <c r="C910" s="27" t="str">
        <f>TEXT(A910,"MMMM")</f>
        <v>março</v>
      </c>
      <c r="D910" s="30" t="s">
        <v>76</v>
      </c>
      <c r="E910" s="30" t="s">
        <v>21</v>
      </c>
      <c r="F910" s="31">
        <v>4.9502314814814811E-2</v>
      </c>
      <c r="G910" s="31">
        <v>0.37782407407407409</v>
      </c>
      <c r="H910" s="31">
        <v>0.75152777777777779</v>
      </c>
      <c r="I910" s="43">
        <f>H910-G910</f>
        <v>0.3737037037037037</v>
      </c>
      <c r="J910" s="43">
        <v>0.3</v>
      </c>
      <c r="K910" s="2">
        <f>I910-J910</f>
        <v>7.3703703703703716E-2</v>
      </c>
      <c r="L910" s="3"/>
      <c r="M910" s="4">
        <f>F910/I910</f>
        <v>0.13246407333994054</v>
      </c>
      <c r="N910" s="4">
        <f>I910/J910</f>
        <v>1.2456790123456791</v>
      </c>
    </row>
    <row r="911" spans="1:14" x14ac:dyDescent="0.3">
      <c r="A911" s="29">
        <v>46091</v>
      </c>
      <c r="B911" s="8">
        <f>YEAR(A911)</f>
        <v>2026</v>
      </c>
      <c r="C911" s="27" t="str">
        <f>TEXT(A911,"MMMM")</f>
        <v>março</v>
      </c>
      <c r="D911" s="30" t="s">
        <v>77</v>
      </c>
      <c r="E911" s="30" t="s">
        <v>34</v>
      </c>
      <c r="F911" s="31">
        <v>2.7731481481481482E-2</v>
      </c>
      <c r="G911" s="31">
        <v>0.45773148148148146</v>
      </c>
      <c r="H911" s="31">
        <v>0.75017361111111114</v>
      </c>
      <c r="I911" s="43">
        <f>H911-G911</f>
        <v>0.29244212962962968</v>
      </c>
      <c r="J911" s="43">
        <v>0.3</v>
      </c>
      <c r="K911" s="2"/>
      <c r="L911" s="3">
        <f>J911-I911</f>
        <v>7.5578703703703121E-3</v>
      </c>
      <c r="M911" s="4">
        <f>F911/I911</f>
        <v>9.482724502315272E-2</v>
      </c>
      <c r="N911" s="4">
        <f>I911/J911</f>
        <v>0.97480709876543226</v>
      </c>
    </row>
    <row r="912" spans="1:14" x14ac:dyDescent="0.3">
      <c r="A912" s="29">
        <v>46091</v>
      </c>
      <c r="B912" s="8">
        <f>YEAR(A912)</f>
        <v>2026</v>
      </c>
      <c r="C912" s="27" t="str">
        <f>TEXT(A912,"MMMM")</f>
        <v>março</v>
      </c>
      <c r="D912" s="30" t="s">
        <v>25</v>
      </c>
      <c r="E912" s="30" t="s">
        <v>21</v>
      </c>
      <c r="F912" s="31">
        <v>4.8240740740740744E-2</v>
      </c>
      <c r="G912" s="31">
        <v>0.39937499999999998</v>
      </c>
      <c r="H912" s="31">
        <v>0.6341782407407407</v>
      </c>
      <c r="I912" s="43">
        <f>H912-G912</f>
        <v>0.23480324074074072</v>
      </c>
      <c r="J912" s="43">
        <v>0.3</v>
      </c>
      <c r="K912" s="2"/>
      <c r="L912" s="3">
        <f>J912-I912</f>
        <v>6.5196759259259274E-2</v>
      </c>
      <c r="M912" s="4">
        <f>F912/I912</f>
        <v>0.20545176714151925</v>
      </c>
      <c r="N912" s="4">
        <f>I912/J912</f>
        <v>0.78267746913580238</v>
      </c>
    </row>
    <row r="913" spans="1:14" x14ac:dyDescent="0.3">
      <c r="A913" s="29">
        <v>46091</v>
      </c>
      <c r="B913" s="8">
        <f>YEAR(A913)</f>
        <v>2026</v>
      </c>
      <c r="C913" s="27" t="str">
        <f>TEXT(A913,"MMMM")</f>
        <v>março</v>
      </c>
      <c r="D913" s="30" t="s">
        <v>26</v>
      </c>
      <c r="E913" s="30" t="s">
        <v>15</v>
      </c>
      <c r="F913" s="31">
        <v>4.9618055555555554E-2</v>
      </c>
      <c r="G913" s="31">
        <v>0.34023148148148147</v>
      </c>
      <c r="H913" s="31">
        <v>0.64623842592592595</v>
      </c>
      <c r="I913" s="43">
        <f>H913-G913</f>
        <v>0.30600694444444448</v>
      </c>
      <c r="J913" s="43">
        <v>0.3</v>
      </c>
      <c r="K913" s="2">
        <f>I913-J913</f>
        <v>6.0069444444444953E-3</v>
      </c>
      <c r="L913" s="3"/>
      <c r="M913" s="4">
        <f>F913/I913</f>
        <v>0.1621468285487348</v>
      </c>
      <c r="N913" s="4">
        <f>I913/J913</f>
        <v>1.0200231481481483</v>
      </c>
    </row>
    <row r="914" spans="1:14" x14ac:dyDescent="0.3">
      <c r="A914" s="29">
        <v>46091</v>
      </c>
      <c r="B914" s="8">
        <f>YEAR(A914)</f>
        <v>2026</v>
      </c>
      <c r="C914" s="27" t="str">
        <f>TEXT(A914,"MMMM")</f>
        <v>março</v>
      </c>
      <c r="D914" s="30" t="s">
        <v>32</v>
      </c>
      <c r="E914" s="30" t="s">
        <v>34</v>
      </c>
      <c r="F914" s="31">
        <v>4.3703703703703703E-2</v>
      </c>
      <c r="G914" s="31">
        <v>0.45134259259259257</v>
      </c>
      <c r="H914" s="31">
        <v>0.75017361111111114</v>
      </c>
      <c r="I914" s="43">
        <f>H914-G914</f>
        <v>0.29883101851851857</v>
      </c>
      <c r="J914" s="43">
        <v>0.3</v>
      </c>
      <c r="K914" s="2"/>
      <c r="L914" s="3">
        <f>J914-I914</f>
        <v>1.1689814814814237E-3</v>
      </c>
      <c r="M914" s="4">
        <f>F914/I914</f>
        <v>0.1462488864789496</v>
      </c>
      <c r="N914" s="4">
        <f>I914/J914</f>
        <v>0.99610339506172862</v>
      </c>
    </row>
    <row r="915" spans="1:14" x14ac:dyDescent="0.3">
      <c r="A915" s="29">
        <v>46091</v>
      </c>
      <c r="B915" s="8">
        <f>YEAR(A915)</f>
        <v>2026</v>
      </c>
      <c r="C915" s="27" t="str">
        <f>TEXT(A915,"MMMM")</f>
        <v>março</v>
      </c>
      <c r="D915" s="30" t="s">
        <v>29</v>
      </c>
      <c r="E915" s="30" t="s">
        <v>34</v>
      </c>
      <c r="F915" s="31">
        <v>6.1296296296296293E-2</v>
      </c>
      <c r="G915" s="31">
        <v>0.33273148148148146</v>
      </c>
      <c r="H915" s="31">
        <v>0.666875</v>
      </c>
      <c r="I915" s="43">
        <f>H915-G915</f>
        <v>0.33414351851851853</v>
      </c>
      <c r="J915" s="43">
        <v>0.3</v>
      </c>
      <c r="K915" s="2">
        <f>I915-J915</f>
        <v>3.4143518518518545E-2</v>
      </c>
      <c r="L915" s="3"/>
      <c r="M915" s="4">
        <f>F915/I915</f>
        <v>0.1834430204364392</v>
      </c>
      <c r="N915" s="4">
        <f>I915/J915</f>
        <v>1.1138117283950619</v>
      </c>
    </row>
    <row r="916" spans="1:14" x14ac:dyDescent="0.3">
      <c r="A916" s="29">
        <v>46092</v>
      </c>
      <c r="B916" s="8">
        <f>YEAR(A916)</f>
        <v>2026</v>
      </c>
      <c r="C916" s="27" t="str">
        <f>TEXT(A916,"MMMM")</f>
        <v>março</v>
      </c>
      <c r="D916" s="30" t="s">
        <v>16</v>
      </c>
      <c r="E916" s="30" t="s">
        <v>34</v>
      </c>
      <c r="F916" s="31">
        <v>4.494212962962963E-2</v>
      </c>
      <c r="G916" s="31">
        <v>0.33371527777777776</v>
      </c>
      <c r="H916" s="31">
        <v>0.75023148148148144</v>
      </c>
      <c r="I916" s="43">
        <f>H916-G916</f>
        <v>0.41651620370370368</v>
      </c>
      <c r="J916" s="43">
        <v>0.3</v>
      </c>
      <c r="K916" s="2">
        <f>I916-J916</f>
        <v>0.11651620370370369</v>
      </c>
      <c r="L916" s="3"/>
      <c r="M916" s="4">
        <f>F916/I916</f>
        <v>0.10790007502709313</v>
      </c>
      <c r="N916" s="4">
        <f>I916/J916</f>
        <v>1.3883873456790123</v>
      </c>
    </row>
    <row r="917" spans="1:14" x14ac:dyDescent="0.3">
      <c r="A917" s="29">
        <v>46092</v>
      </c>
      <c r="B917" s="8">
        <f>YEAR(A917)</f>
        <v>2026</v>
      </c>
      <c r="C917" s="27" t="str">
        <f>TEXT(A917,"MMMM")</f>
        <v>março</v>
      </c>
      <c r="D917" s="30" t="s">
        <v>47</v>
      </c>
      <c r="E917" s="30" t="s">
        <v>34</v>
      </c>
      <c r="F917" s="31">
        <v>5.545138888888889E-2</v>
      </c>
      <c r="G917" s="31">
        <v>0.50968749999999996</v>
      </c>
      <c r="H917" s="31">
        <v>0.75018518518518518</v>
      </c>
      <c r="I917" s="43">
        <f>H917-G917</f>
        <v>0.24049768518518522</v>
      </c>
      <c r="J917" s="43">
        <v>0.25</v>
      </c>
      <c r="K917" s="2"/>
      <c r="L917" s="3">
        <f>J917-I917</f>
        <v>9.5023148148147829E-3</v>
      </c>
      <c r="M917" s="4">
        <f>F917/I917</f>
        <v>0.23056932479907596</v>
      </c>
      <c r="N917" s="4">
        <f>I917/J917</f>
        <v>0.96199074074074087</v>
      </c>
    </row>
    <row r="918" spans="1:14" x14ac:dyDescent="0.3">
      <c r="A918" s="29">
        <v>46092</v>
      </c>
      <c r="B918" s="8">
        <f>YEAR(A918)</f>
        <v>2026</v>
      </c>
      <c r="C918" s="27" t="str">
        <f>TEXT(A918,"MMMM")</f>
        <v>março</v>
      </c>
      <c r="D918" s="30" t="s">
        <v>18</v>
      </c>
      <c r="E918" s="30" t="s">
        <v>34</v>
      </c>
      <c r="F918" s="31">
        <v>3.4976851851851849E-2</v>
      </c>
      <c r="G918" s="31">
        <v>0.33900462962962963</v>
      </c>
      <c r="H918" s="31">
        <v>0.74987268518518524</v>
      </c>
      <c r="I918" s="43">
        <f>H918-G918</f>
        <v>0.41086805555555561</v>
      </c>
      <c r="J918" s="43">
        <v>0.3</v>
      </c>
      <c r="K918" s="2">
        <f>I918-J918</f>
        <v>0.11086805555555562</v>
      </c>
      <c r="L918" s="3"/>
      <c r="M918" s="4">
        <f>F918/I918</f>
        <v>8.512915856784696E-2</v>
      </c>
      <c r="N918" s="4">
        <f>I918/J918</f>
        <v>1.3695601851851855</v>
      </c>
    </row>
    <row r="919" spans="1:14" x14ac:dyDescent="0.3">
      <c r="A919" s="29">
        <v>46092</v>
      </c>
      <c r="B919" s="8">
        <f>YEAR(A919)</f>
        <v>2026</v>
      </c>
      <c r="C919" s="27" t="str">
        <f>TEXT(A919,"MMMM")</f>
        <v>março</v>
      </c>
      <c r="D919" s="30" t="s">
        <v>19</v>
      </c>
      <c r="E919" s="30" t="s">
        <v>34</v>
      </c>
      <c r="F919" s="31">
        <v>5.4988425925925927E-2</v>
      </c>
      <c r="G919" s="31">
        <v>0.33412037037037035</v>
      </c>
      <c r="H919" s="31">
        <v>0.63351851851851848</v>
      </c>
      <c r="I919" s="43">
        <f>H919-G919</f>
        <v>0.29939814814814814</v>
      </c>
      <c r="J919" s="43">
        <v>0.3</v>
      </c>
      <c r="K919" s="2"/>
      <c r="L919" s="3">
        <f>J919-I919</f>
        <v>6.0185185185185341E-4</v>
      </c>
      <c r="M919" s="4">
        <f>F919/I919</f>
        <v>0.18366321323643112</v>
      </c>
      <c r="N919" s="4">
        <f>I919/J919</f>
        <v>0.99799382716049378</v>
      </c>
    </row>
    <row r="920" spans="1:14" x14ac:dyDescent="0.3">
      <c r="A920" s="29">
        <v>46092</v>
      </c>
      <c r="B920" s="8">
        <f>YEAR(A920)</f>
        <v>2026</v>
      </c>
      <c r="C920" s="27" t="str">
        <f>TEXT(A920,"MMMM")</f>
        <v>março</v>
      </c>
      <c r="D920" s="30" t="s">
        <v>69</v>
      </c>
      <c r="E920" s="30" t="s">
        <v>34</v>
      </c>
      <c r="F920" s="31">
        <v>4.8402777777777781E-2</v>
      </c>
      <c r="G920" s="31">
        <v>0.33438657407407407</v>
      </c>
      <c r="H920" s="31">
        <v>0.71693287037037035</v>
      </c>
      <c r="I920" s="43">
        <f>H920-G920</f>
        <v>0.38254629629629627</v>
      </c>
      <c r="J920" s="43">
        <v>0.3</v>
      </c>
      <c r="K920" s="2">
        <f>I920-J920</f>
        <v>8.2546296296296284E-2</v>
      </c>
      <c r="L920" s="3"/>
      <c r="M920" s="4">
        <f>F920/I920</f>
        <v>0.12652789543749246</v>
      </c>
      <c r="N920" s="4">
        <f>I920/J920</f>
        <v>1.2751543209876544</v>
      </c>
    </row>
    <row r="921" spans="1:14" x14ac:dyDescent="0.3">
      <c r="A921" s="29">
        <v>46092</v>
      </c>
      <c r="B921" s="8">
        <f>YEAR(A921)</f>
        <v>2026</v>
      </c>
      <c r="C921" s="27" t="str">
        <f>TEXT(A921,"MMMM")</f>
        <v>março</v>
      </c>
      <c r="D921" s="30" t="s">
        <v>22</v>
      </c>
      <c r="E921" s="30" t="s">
        <v>21</v>
      </c>
      <c r="F921" s="31">
        <v>3.8206018518518521E-2</v>
      </c>
      <c r="G921" s="31">
        <v>0.44763888888888886</v>
      </c>
      <c r="H921" s="31">
        <v>0.75053240740740745</v>
      </c>
      <c r="I921" s="43">
        <f>H921-G921</f>
        <v>0.30289351851851859</v>
      </c>
      <c r="J921" s="43">
        <v>0.3</v>
      </c>
      <c r="K921" s="2">
        <f>I921-J921</f>
        <v>2.8935185185186008E-3</v>
      </c>
      <c r="L921" s="3"/>
      <c r="M921" s="4">
        <f>F921/I921</f>
        <v>0.12613679786014517</v>
      </c>
      <c r="N921" s="4">
        <f>I921/J921</f>
        <v>1.0096450617283954</v>
      </c>
    </row>
    <row r="922" spans="1:14" x14ac:dyDescent="0.3">
      <c r="A922" s="29">
        <v>46092</v>
      </c>
      <c r="B922" s="8">
        <f>YEAR(A922)</f>
        <v>2026</v>
      </c>
      <c r="C922" s="27" t="str">
        <f>TEXT(A922,"MMMM")</f>
        <v>março</v>
      </c>
      <c r="D922" s="30" t="s">
        <v>33</v>
      </c>
      <c r="E922" s="30" t="s">
        <v>34</v>
      </c>
      <c r="F922" s="31">
        <v>3.2696759259259259E-2</v>
      </c>
      <c r="G922" s="31">
        <v>0.33297453703703705</v>
      </c>
      <c r="H922" s="31">
        <v>0.63398148148148148</v>
      </c>
      <c r="I922" s="43">
        <f>H922-G922</f>
        <v>0.30100694444444442</v>
      </c>
      <c r="J922" s="43">
        <v>0.3</v>
      </c>
      <c r="K922" s="2">
        <f>I922-J922</f>
        <v>1.0069444444444353E-3</v>
      </c>
      <c r="L922" s="3"/>
      <c r="M922" s="4">
        <f>F922/I922</f>
        <v>0.10862460106894298</v>
      </c>
      <c r="N922" s="4">
        <f>I922/J922</f>
        <v>1.0033564814814815</v>
      </c>
    </row>
    <row r="923" spans="1:14" x14ac:dyDescent="0.3">
      <c r="A923" s="29">
        <v>46092</v>
      </c>
      <c r="B923" s="8">
        <f>YEAR(A923)</f>
        <v>2026</v>
      </c>
      <c r="C923" s="27" t="str">
        <f>TEXT(A923,"MMMM")</f>
        <v>março</v>
      </c>
      <c r="D923" s="30" t="s">
        <v>76</v>
      </c>
      <c r="E923" s="30" t="s">
        <v>21</v>
      </c>
      <c r="F923" s="31">
        <v>4.6863425925925926E-2</v>
      </c>
      <c r="G923" s="31">
        <v>0.45038194444444446</v>
      </c>
      <c r="H923" s="31">
        <v>0.75026620370370367</v>
      </c>
      <c r="I923" s="43">
        <f>H923-G923</f>
        <v>0.29988425925925921</v>
      </c>
      <c r="J923" s="43">
        <v>0.3</v>
      </c>
      <c r="K923" s="2"/>
      <c r="L923" s="3">
        <f>J923-I923</f>
        <v>1.1574074074077734E-4</v>
      </c>
      <c r="M923" s="4">
        <f>F923/I923</f>
        <v>0.15627170976456969</v>
      </c>
      <c r="N923" s="4">
        <f>I923/J923</f>
        <v>0.99961419753086411</v>
      </c>
    </row>
    <row r="924" spans="1:14" x14ac:dyDescent="0.3">
      <c r="A924" s="29">
        <v>46092</v>
      </c>
      <c r="B924" s="8">
        <f>YEAR(A924)</f>
        <v>2026</v>
      </c>
      <c r="C924" s="27" t="str">
        <f>TEXT(A924,"MMMM")</f>
        <v>março</v>
      </c>
      <c r="D924" s="30" t="s">
        <v>77</v>
      </c>
      <c r="E924" s="30" t="s">
        <v>34</v>
      </c>
      <c r="F924" s="31">
        <v>3.048611111111111E-2</v>
      </c>
      <c r="G924" s="31">
        <v>0.45087962962962963</v>
      </c>
      <c r="H924" s="31">
        <v>0.75018518518518518</v>
      </c>
      <c r="I924" s="43">
        <f>H924-G924</f>
        <v>0.29930555555555555</v>
      </c>
      <c r="J924" s="43">
        <v>0.3</v>
      </c>
      <c r="K924" s="2"/>
      <c r="L924" s="3">
        <f>J924-I924</f>
        <v>6.9444444444444198E-4</v>
      </c>
      <c r="M924" s="4">
        <f>F924/I924</f>
        <v>0.10185614849187935</v>
      </c>
      <c r="N924" s="4">
        <f>I924/J924</f>
        <v>0.99768518518518523</v>
      </c>
    </row>
    <row r="925" spans="1:14" x14ac:dyDescent="0.3">
      <c r="A925" s="29">
        <v>46092</v>
      </c>
      <c r="B925" s="8">
        <f>YEAR(A925)</f>
        <v>2026</v>
      </c>
      <c r="C925" s="27" t="str">
        <f>TEXT(A925,"MMMM")</f>
        <v>março</v>
      </c>
      <c r="D925" s="30" t="s">
        <v>26</v>
      </c>
      <c r="E925" s="30" t="s">
        <v>15</v>
      </c>
      <c r="F925" s="31">
        <v>3.5520833333333335E-2</v>
      </c>
      <c r="G925" s="31">
        <v>0.33943287037037034</v>
      </c>
      <c r="H925" s="31">
        <v>0.6350231481481482</v>
      </c>
      <c r="I925" s="43">
        <f>H925-G925</f>
        <v>0.29559027777777785</v>
      </c>
      <c r="J925" s="43">
        <v>0.3</v>
      </c>
      <c r="K925" s="2"/>
      <c r="L925" s="3">
        <f>J925-I925</f>
        <v>4.4097222222221344E-3</v>
      </c>
      <c r="M925" s="4">
        <f>F925/I925</f>
        <v>0.12016915306002582</v>
      </c>
      <c r="N925" s="4">
        <f>I925/J925</f>
        <v>0.98530092592592622</v>
      </c>
    </row>
    <row r="926" spans="1:14" x14ac:dyDescent="0.3">
      <c r="A926" s="29">
        <v>46092</v>
      </c>
      <c r="B926" s="8">
        <f>YEAR(A926)</f>
        <v>2026</v>
      </c>
      <c r="C926" s="27" t="str">
        <f>TEXT(A926,"MMMM")</f>
        <v>março</v>
      </c>
      <c r="D926" s="30" t="s">
        <v>29</v>
      </c>
      <c r="E926" s="30" t="s">
        <v>34</v>
      </c>
      <c r="F926" s="31">
        <v>4.5995370370370367E-2</v>
      </c>
      <c r="G926" s="31">
        <v>0.33410879629629631</v>
      </c>
      <c r="H926" s="31">
        <v>0.65636574074074072</v>
      </c>
      <c r="I926" s="43">
        <f>H926-G926</f>
        <v>0.32225694444444442</v>
      </c>
      <c r="J926" s="43">
        <v>0.3</v>
      </c>
      <c r="K926" s="2">
        <f>I926-J926</f>
        <v>2.2256944444444426E-2</v>
      </c>
      <c r="L926" s="3"/>
      <c r="M926" s="4">
        <f>F926/I926</f>
        <v>0.1427288726071185</v>
      </c>
      <c r="N926" s="4">
        <f>I926/J926</f>
        <v>1.0741898148148148</v>
      </c>
    </row>
    <row r="927" spans="1:14" x14ac:dyDescent="0.3">
      <c r="A927" s="29">
        <v>46093</v>
      </c>
      <c r="B927" s="8">
        <f>YEAR(A927)</f>
        <v>2026</v>
      </c>
      <c r="C927" s="27" t="str">
        <f>TEXT(A927,"MMMM")</f>
        <v>março</v>
      </c>
      <c r="D927" s="30" t="s">
        <v>16</v>
      </c>
      <c r="E927" s="30" t="s">
        <v>34</v>
      </c>
      <c r="F927" s="31">
        <v>5.1053240740740739E-2</v>
      </c>
      <c r="G927" s="31">
        <v>0.33664351851851854</v>
      </c>
      <c r="H927" s="31">
        <v>0.72010416666666666</v>
      </c>
      <c r="I927" s="43">
        <f>H927-G927</f>
        <v>0.38346064814814812</v>
      </c>
      <c r="J927" s="43">
        <v>0.3</v>
      </c>
      <c r="K927" s="2">
        <f>I927-J927</f>
        <v>8.3460648148148131E-2</v>
      </c>
      <c r="L927" s="3"/>
      <c r="M927" s="4">
        <f>F927/I927</f>
        <v>0.13313814856176995</v>
      </c>
      <c r="N927" s="4">
        <f>I927/J927</f>
        <v>1.2782021604938272</v>
      </c>
    </row>
    <row r="928" spans="1:14" x14ac:dyDescent="0.3">
      <c r="A928" s="29">
        <v>46093</v>
      </c>
      <c r="B928" s="8">
        <f>YEAR(A928)</f>
        <v>2026</v>
      </c>
      <c r="C928" s="27" t="str">
        <f>TEXT(A928,"MMMM")</f>
        <v>março</v>
      </c>
      <c r="D928" s="30" t="s">
        <v>47</v>
      </c>
      <c r="E928" s="30" t="s">
        <v>34</v>
      </c>
      <c r="F928" s="31">
        <v>3.6805555555555557E-2</v>
      </c>
      <c r="G928" s="31">
        <v>0.51597222222222228</v>
      </c>
      <c r="H928" s="31">
        <v>0.75045138888888885</v>
      </c>
      <c r="I928" s="43">
        <f>H928-G928</f>
        <v>0.23447916666666657</v>
      </c>
      <c r="J928" s="43">
        <v>0.25</v>
      </c>
      <c r="K928" s="2"/>
      <c r="L928" s="3">
        <f>J928-I928</f>
        <v>1.5520833333333428E-2</v>
      </c>
      <c r="M928" s="4">
        <f>F928/I928</f>
        <v>0.15696727380423522</v>
      </c>
      <c r="N928" s="4">
        <f>I928/J928</f>
        <v>0.93791666666666629</v>
      </c>
    </row>
    <row r="929" spans="1:14" x14ac:dyDescent="0.3">
      <c r="A929" s="29">
        <v>46093</v>
      </c>
      <c r="B929" s="8">
        <f>YEAR(A929)</f>
        <v>2026</v>
      </c>
      <c r="C929" s="27" t="str">
        <f>TEXT(A929,"MMMM")</f>
        <v>março</v>
      </c>
      <c r="D929" s="30" t="s">
        <v>18</v>
      </c>
      <c r="E929" s="30" t="s">
        <v>34</v>
      </c>
      <c r="F929" s="31">
        <v>3.7222222222222219E-2</v>
      </c>
      <c r="G929" s="31">
        <v>0.33603009259259259</v>
      </c>
      <c r="H929" s="31">
        <v>0.67996527777777782</v>
      </c>
      <c r="I929" s="43">
        <f>H929-G929</f>
        <v>0.34393518518518523</v>
      </c>
      <c r="J929" s="43">
        <v>0.3</v>
      </c>
      <c r="K929" s="2">
        <f>I929-J929</f>
        <v>4.3935185185185244E-2</v>
      </c>
      <c r="L929" s="3"/>
      <c r="M929" s="4">
        <f>F929/I929</f>
        <v>0.10822452550814374</v>
      </c>
      <c r="N929" s="4">
        <f>I929/J929</f>
        <v>1.1464506172839508</v>
      </c>
    </row>
    <row r="930" spans="1:14" x14ac:dyDescent="0.3">
      <c r="A930" s="29">
        <v>46093</v>
      </c>
      <c r="B930" s="8">
        <f>YEAR(A930)</f>
        <v>2026</v>
      </c>
      <c r="C930" s="27" t="str">
        <f>TEXT(A930,"MMMM")</f>
        <v>março</v>
      </c>
      <c r="D930" s="30" t="s">
        <v>19</v>
      </c>
      <c r="E930" s="30" t="s">
        <v>34</v>
      </c>
      <c r="F930" s="31">
        <v>4.6458333333333331E-2</v>
      </c>
      <c r="G930" s="31">
        <v>0.3339699074074074</v>
      </c>
      <c r="H930" s="31">
        <v>0.63358796296296294</v>
      </c>
      <c r="I930" s="43">
        <f>H930-G930</f>
        <v>0.29961805555555554</v>
      </c>
      <c r="J930" s="43">
        <v>0.3</v>
      </c>
      <c r="K930" s="2"/>
      <c r="L930" s="3">
        <f>J930-I930</f>
        <v>3.8194444444444864E-4</v>
      </c>
      <c r="M930" s="4">
        <f>F930/I930</f>
        <v>0.15505852358326572</v>
      </c>
      <c r="N930" s="4">
        <f>I930/J930</f>
        <v>0.99872685185185184</v>
      </c>
    </row>
    <row r="931" spans="1:14" x14ac:dyDescent="0.3">
      <c r="A931" s="29">
        <v>46093</v>
      </c>
      <c r="B931" s="8">
        <f>YEAR(A931)</f>
        <v>2026</v>
      </c>
      <c r="C931" s="27" t="str">
        <f>TEXT(A931,"MMMM")</f>
        <v>março</v>
      </c>
      <c r="D931" s="30" t="s">
        <v>69</v>
      </c>
      <c r="E931" s="30" t="s">
        <v>34</v>
      </c>
      <c r="F931" s="31">
        <v>4.5983796296296293E-2</v>
      </c>
      <c r="G931" s="31">
        <v>0.33618055555555554</v>
      </c>
      <c r="H931" s="31">
        <v>0.64793981481481477</v>
      </c>
      <c r="I931" s="43">
        <f>H931-G931</f>
        <v>0.31175925925925924</v>
      </c>
      <c r="J931" s="43">
        <v>0.3</v>
      </c>
      <c r="K931" s="2">
        <f>I931-J931</f>
        <v>1.1759259259259247E-2</v>
      </c>
      <c r="L931" s="3"/>
      <c r="M931" s="4">
        <f>F931/I931</f>
        <v>0.14749777249777249</v>
      </c>
      <c r="N931" s="4">
        <f>I931/J931</f>
        <v>1.0391975308641974</v>
      </c>
    </row>
    <row r="932" spans="1:14" x14ac:dyDescent="0.3">
      <c r="A932" s="29">
        <v>46093</v>
      </c>
      <c r="B932" s="8">
        <f>YEAR(A932)</f>
        <v>2026</v>
      </c>
      <c r="C932" s="27" t="str">
        <f>TEXT(A932,"MMMM")</f>
        <v>março</v>
      </c>
      <c r="D932" s="30" t="s">
        <v>22</v>
      </c>
      <c r="E932" s="30" t="s">
        <v>21</v>
      </c>
      <c r="F932" s="31">
        <v>3.802083333333333E-2</v>
      </c>
      <c r="G932" s="31">
        <v>0.45060185185185186</v>
      </c>
      <c r="H932" s="31">
        <v>0.75040509259259258</v>
      </c>
      <c r="I932" s="43">
        <f>H932-G932</f>
        <v>0.29980324074074072</v>
      </c>
      <c r="J932" s="43">
        <v>0.3</v>
      </c>
      <c r="K932" s="2"/>
      <c r="L932" s="3">
        <f>J932-I932</f>
        <v>1.9675925925927151E-4</v>
      </c>
      <c r="M932" s="4">
        <f>F932/I932</f>
        <v>0.1268192873412346</v>
      </c>
      <c r="N932" s="4">
        <f>I932/J932</f>
        <v>0.99934413580246906</v>
      </c>
    </row>
    <row r="933" spans="1:14" x14ac:dyDescent="0.3">
      <c r="A933" s="29">
        <v>46093</v>
      </c>
      <c r="B933" s="8">
        <f>YEAR(A933)</f>
        <v>2026</v>
      </c>
      <c r="C933" s="27" t="str">
        <f>TEXT(A933,"MMMM")</f>
        <v>março</v>
      </c>
      <c r="D933" s="30" t="s">
        <v>33</v>
      </c>
      <c r="E933" s="30" t="s">
        <v>34</v>
      </c>
      <c r="F933" s="31">
        <v>3.6006944444444446E-2</v>
      </c>
      <c r="G933" s="31">
        <v>0.33317129629629627</v>
      </c>
      <c r="H933" s="31">
        <v>0.63369212962962962</v>
      </c>
      <c r="I933" s="43">
        <f>H933-G933</f>
        <v>0.30052083333333335</v>
      </c>
      <c r="J933" s="43">
        <v>0.3</v>
      </c>
      <c r="K933" s="2">
        <f>I933-J933</f>
        <v>5.2083333333335924E-4</v>
      </c>
      <c r="L933" s="3"/>
      <c r="M933" s="4">
        <f>F933/I933</f>
        <v>0.11981513575967649</v>
      </c>
      <c r="N933" s="4">
        <f>I933/J933</f>
        <v>1.0017361111111112</v>
      </c>
    </row>
    <row r="934" spans="1:14" x14ac:dyDescent="0.3">
      <c r="A934" s="29">
        <v>46093</v>
      </c>
      <c r="B934" s="8">
        <f>YEAR(A934)</f>
        <v>2026</v>
      </c>
      <c r="C934" s="27" t="str">
        <f>TEXT(A934,"MMMM")</f>
        <v>março</v>
      </c>
      <c r="D934" s="30" t="s">
        <v>77</v>
      </c>
      <c r="E934" s="30" t="s">
        <v>34</v>
      </c>
      <c r="F934" s="31">
        <v>2.8020833333333332E-2</v>
      </c>
      <c r="G934" s="31">
        <v>0.45858796296296295</v>
      </c>
      <c r="H934" s="31">
        <v>0.75025462962962963</v>
      </c>
      <c r="I934" s="43">
        <f>H934-G934</f>
        <v>0.29166666666666669</v>
      </c>
      <c r="J934" s="43">
        <v>0.3</v>
      </c>
      <c r="K934" s="2"/>
      <c r="L934" s="3">
        <f>J934-I934</f>
        <v>8.3333333333333037E-3</v>
      </c>
      <c r="M934" s="4">
        <f>F934/I934</f>
        <v>9.6071428571428558E-2</v>
      </c>
      <c r="N934" s="4">
        <f>I934/J934</f>
        <v>0.97222222222222232</v>
      </c>
    </row>
    <row r="935" spans="1:14" x14ac:dyDescent="0.3">
      <c r="A935" s="29">
        <v>46093</v>
      </c>
      <c r="B935" s="8">
        <f>YEAR(A935)</f>
        <v>2026</v>
      </c>
      <c r="C935" s="27" t="str">
        <f>TEXT(A935,"MMMM")</f>
        <v>março</v>
      </c>
      <c r="D935" s="30" t="s">
        <v>25</v>
      </c>
      <c r="E935" s="30" t="s">
        <v>21</v>
      </c>
      <c r="F935" s="31">
        <v>4.5497685185185183E-2</v>
      </c>
      <c r="G935" s="31">
        <v>0.33468750000000003</v>
      </c>
      <c r="H935" s="31">
        <v>0.67553240740740739</v>
      </c>
      <c r="I935" s="43">
        <f>H935-G935</f>
        <v>0.34084490740740736</v>
      </c>
      <c r="J935" s="43">
        <v>0.3</v>
      </c>
      <c r="K935" s="2">
        <f>I935-J935</f>
        <v>4.0844907407407371E-2</v>
      </c>
      <c r="L935" s="3"/>
      <c r="M935" s="4">
        <f>F935/I935</f>
        <v>0.13348500797989746</v>
      </c>
      <c r="N935" s="4">
        <f>I935/J935</f>
        <v>1.1361496913580247</v>
      </c>
    </row>
    <row r="936" spans="1:14" x14ac:dyDescent="0.3">
      <c r="A936" s="29">
        <v>46093</v>
      </c>
      <c r="B936" s="8">
        <f>YEAR(A936)</f>
        <v>2026</v>
      </c>
      <c r="C936" s="27" t="str">
        <f>TEXT(A936,"MMMM")</f>
        <v>março</v>
      </c>
      <c r="D936" s="30" t="s">
        <v>26</v>
      </c>
      <c r="E936" s="30" t="s">
        <v>15</v>
      </c>
      <c r="F936" s="31">
        <v>3.107638888888889E-2</v>
      </c>
      <c r="G936" s="31">
        <v>0.33584490740740741</v>
      </c>
      <c r="H936" s="31">
        <v>0.63570601851851849</v>
      </c>
      <c r="I936" s="43">
        <f>H936-G936</f>
        <v>0.29986111111111108</v>
      </c>
      <c r="J936" s="43">
        <v>0.3</v>
      </c>
      <c r="K936" s="2"/>
      <c r="L936" s="3">
        <f>J936-I936</f>
        <v>1.388888888889106E-4</v>
      </c>
      <c r="M936" s="4">
        <f>F936/I936</f>
        <v>0.10363594256600279</v>
      </c>
      <c r="N936" s="4">
        <f>I936/J936</f>
        <v>0.999537037037037</v>
      </c>
    </row>
    <row r="937" spans="1:14" x14ac:dyDescent="0.3">
      <c r="A937" s="29">
        <v>46093</v>
      </c>
      <c r="B937" s="8">
        <f>YEAR(A937)</f>
        <v>2026</v>
      </c>
      <c r="C937" s="27" t="str">
        <f>TEXT(A937,"MMMM")</f>
        <v>março</v>
      </c>
      <c r="D937" s="30" t="s">
        <v>29</v>
      </c>
      <c r="E937" s="30" t="s">
        <v>34</v>
      </c>
      <c r="F937" s="31">
        <v>4.1608796296296297E-2</v>
      </c>
      <c r="G937" s="31">
        <v>0.3409375</v>
      </c>
      <c r="H937" s="31">
        <v>0.63396990740740744</v>
      </c>
      <c r="I937" s="43">
        <f>H937-G937</f>
        <v>0.29303240740740744</v>
      </c>
      <c r="J937" s="43">
        <v>0.3</v>
      </c>
      <c r="K937" s="2"/>
      <c r="L937" s="3">
        <f>J937-I937</f>
        <v>6.967592592592553E-3</v>
      </c>
      <c r="M937" s="4">
        <f>F937/I937</f>
        <v>0.14199383837585905</v>
      </c>
      <c r="N937" s="4">
        <f>I937/J937</f>
        <v>0.97677469135802486</v>
      </c>
    </row>
    <row r="938" spans="1:14" x14ac:dyDescent="0.3">
      <c r="A938" s="29">
        <v>46094</v>
      </c>
      <c r="B938" s="8">
        <f>YEAR(A938)</f>
        <v>2026</v>
      </c>
      <c r="C938" s="27" t="str">
        <f>TEXT(A938,"MMMM")</f>
        <v>março</v>
      </c>
      <c r="D938" s="30" t="s">
        <v>16</v>
      </c>
      <c r="E938" s="30" t="s">
        <v>34</v>
      </c>
      <c r="F938" s="31">
        <v>4.7939814814814817E-2</v>
      </c>
      <c r="G938" s="31">
        <v>0.3338888888888889</v>
      </c>
      <c r="H938" s="31">
        <v>0.68098379629629635</v>
      </c>
      <c r="I938" s="43">
        <f>H938-G938</f>
        <v>0.34709490740740745</v>
      </c>
      <c r="J938" s="43">
        <v>0.3</v>
      </c>
      <c r="K938" s="2">
        <f>I938-J938</f>
        <v>4.709490740740746E-2</v>
      </c>
      <c r="L938" s="3"/>
      <c r="M938" s="4">
        <f>F938/I938</f>
        <v>0.13811730968021607</v>
      </c>
      <c r="N938" s="4">
        <f>I938/J938</f>
        <v>1.1569830246913582</v>
      </c>
    </row>
    <row r="939" spans="1:14" x14ac:dyDescent="0.3">
      <c r="A939" s="29">
        <v>46094</v>
      </c>
      <c r="B939" s="8">
        <f>YEAR(A939)</f>
        <v>2026</v>
      </c>
      <c r="C939" s="27" t="str">
        <f>TEXT(A939,"MMMM")</f>
        <v>março</v>
      </c>
      <c r="D939" s="30" t="s">
        <v>18</v>
      </c>
      <c r="E939" s="30" t="s">
        <v>34</v>
      </c>
      <c r="F939" s="31">
        <v>2.732638888888889E-2</v>
      </c>
      <c r="G939" s="31">
        <v>0.40347222222222223</v>
      </c>
      <c r="H939" s="31">
        <v>0.7142708333333333</v>
      </c>
      <c r="I939" s="43">
        <f>H939-G939</f>
        <v>0.31079861111111107</v>
      </c>
      <c r="J939" s="43">
        <v>0.3</v>
      </c>
      <c r="K939" s="2">
        <f>I939-J939</f>
        <v>1.0798611111111078E-2</v>
      </c>
      <c r="L939" s="3"/>
      <c r="M939" s="4">
        <f>F939/I939</f>
        <v>8.7923137079655919E-2</v>
      </c>
      <c r="N939" s="4">
        <f>I939/J939</f>
        <v>1.0359953703703704</v>
      </c>
    </row>
    <row r="940" spans="1:14" x14ac:dyDescent="0.3">
      <c r="A940" s="29">
        <v>46094</v>
      </c>
      <c r="B940" s="8">
        <f>YEAR(A940)</f>
        <v>2026</v>
      </c>
      <c r="C940" s="27" t="str">
        <f>TEXT(A940,"MMMM")</f>
        <v>março</v>
      </c>
      <c r="D940" s="30" t="s">
        <v>19</v>
      </c>
      <c r="E940" s="30" t="s">
        <v>34</v>
      </c>
      <c r="F940" s="31">
        <v>4.7476851851851853E-2</v>
      </c>
      <c r="G940" s="31">
        <v>0.33597222222222223</v>
      </c>
      <c r="H940" s="31">
        <v>0.63363425925925931</v>
      </c>
      <c r="I940" s="43">
        <f>H940-G940</f>
        <v>0.29766203703703709</v>
      </c>
      <c r="J940" s="43">
        <v>0.3</v>
      </c>
      <c r="K940" s="2"/>
      <c r="L940" s="3">
        <f>J940-I940</f>
        <v>2.3379629629629028E-3</v>
      </c>
      <c r="M940" s="4">
        <f>F940/I940</f>
        <v>0.15949918345127923</v>
      </c>
      <c r="N940" s="4">
        <f>I940/J940</f>
        <v>0.99220679012345703</v>
      </c>
    </row>
    <row r="941" spans="1:14" x14ac:dyDescent="0.3">
      <c r="A941" s="29">
        <v>46094</v>
      </c>
      <c r="B941" s="8">
        <f>YEAR(A941)</f>
        <v>2026</v>
      </c>
      <c r="C941" s="27" t="str">
        <f>TEXT(A941,"MMMM")</f>
        <v>março</v>
      </c>
      <c r="D941" s="30" t="s">
        <v>69</v>
      </c>
      <c r="E941" s="30" t="s">
        <v>34</v>
      </c>
      <c r="F941" s="31">
        <v>5.0081018518518518E-2</v>
      </c>
      <c r="G941" s="31">
        <v>0.34736111111111112</v>
      </c>
      <c r="H941" s="31">
        <v>0.70910879629629631</v>
      </c>
      <c r="I941" s="43">
        <f>H941-G941</f>
        <v>0.36174768518518519</v>
      </c>
      <c r="J941" s="43">
        <v>0.3</v>
      </c>
      <c r="K941" s="2">
        <f>I941-J941</f>
        <v>6.1747685185185197E-2</v>
      </c>
      <c r="L941" s="3"/>
      <c r="M941" s="4">
        <f>F941/I941</f>
        <v>0.13844184930411135</v>
      </c>
      <c r="N941" s="4">
        <f>I941/J941</f>
        <v>1.2058256172839508</v>
      </c>
    </row>
    <row r="942" spans="1:14" x14ac:dyDescent="0.3">
      <c r="A942" s="29">
        <v>46094</v>
      </c>
      <c r="B942" s="8">
        <f>YEAR(A942)</f>
        <v>2026</v>
      </c>
      <c r="C942" s="27" t="str">
        <f>TEXT(A942,"MMMM")</f>
        <v>março</v>
      </c>
      <c r="D942" s="30" t="s">
        <v>22</v>
      </c>
      <c r="E942" s="30" t="s">
        <v>21</v>
      </c>
      <c r="F942" s="31">
        <v>4.2407407407407408E-2</v>
      </c>
      <c r="G942" s="31">
        <v>0.45114583333333336</v>
      </c>
      <c r="H942" s="31">
        <v>0.75061342592592595</v>
      </c>
      <c r="I942" s="43">
        <f>H942-G942</f>
        <v>0.29946759259259259</v>
      </c>
      <c r="J942" s="43">
        <v>0.3</v>
      </c>
      <c r="K942" s="2"/>
      <c r="L942" s="3">
        <f>J942-I942</f>
        <v>5.3240740740739811E-4</v>
      </c>
      <c r="M942" s="4">
        <f>F942/I942</f>
        <v>0.14160933755893948</v>
      </c>
      <c r="N942" s="4">
        <f>I942/J942</f>
        <v>0.99822530864197534</v>
      </c>
    </row>
    <row r="943" spans="1:14" x14ac:dyDescent="0.3">
      <c r="A943" s="29">
        <v>46094</v>
      </c>
      <c r="B943" s="8">
        <f>YEAR(A943)</f>
        <v>2026</v>
      </c>
      <c r="C943" s="27" t="str">
        <f>TEXT(A943,"MMMM")</f>
        <v>março</v>
      </c>
      <c r="D943" s="30" t="s">
        <v>33</v>
      </c>
      <c r="E943" s="30" t="s">
        <v>34</v>
      </c>
      <c r="F943" s="31">
        <v>3.6238425925925924E-2</v>
      </c>
      <c r="G943" s="31">
        <v>0.33302083333333332</v>
      </c>
      <c r="H943" s="31">
        <v>0.63396990740740744</v>
      </c>
      <c r="I943" s="43">
        <f>H943-G943</f>
        <v>0.30094907407407412</v>
      </c>
      <c r="J943" s="43">
        <v>0.3</v>
      </c>
      <c r="K943" s="2">
        <f>I943-J943</f>
        <v>9.4907407407412991E-4</v>
      </c>
      <c r="L943" s="3"/>
      <c r="M943" s="4">
        <f>F943/I943</f>
        <v>0.1204138143219752</v>
      </c>
      <c r="N943" s="4">
        <f>I943/J943</f>
        <v>1.0031635802469139</v>
      </c>
    </row>
    <row r="944" spans="1:14" x14ac:dyDescent="0.3">
      <c r="A944" s="29">
        <v>46094</v>
      </c>
      <c r="B944" s="8">
        <f>YEAR(A944)</f>
        <v>2026</v>
      </c>
      <c r="C944" s="27" t="str">
        <f>TEXT(A944,"MMMM")</f>
        <v>março</v>
      </c>
      <c r="D944" s="30" t="s">
        <v>76</v>
      </c>
      <c r="E944" s="30" t="s">
        <v>21</v>
      </c>
      <c r="F944" s="31">
        <v>5.5798611111111111E-2</v>
      </c>
      <c r="G944" s="31">
        <v>0.45100694444444445</v>
      </c>
      <c r="H944" s="31">
        <v>0.75050925925925926</v>
      </c>
      <c r="I944" s="43">
        <f>H944-G944</f>
        <v>0.29950231481481482</v>
      </c>
      <c r="J944" s="43">
        <v>0.3</v>
      </c>
      <c r="K944" s="2"/>
      <c r="L944" s="3">
        <f>J944-I944</f>
        <v>4.9768518518517046E-4</v>
      </c>
      <c r="M944" s="4">
        <f>F944/I944</f>
        <v>0.18630444023650344</v>
      </c>
      <c r="N944" s="4">
        <f>I944/J944</f>
        <v>0.99834104938271606</v>
      </c>
    </row>
    <row r="945" spans="1:14" x14ac:dyDescent="0.3">
      <c r="A945" s="29">
        <v>46094</v>
      </c>
      <c r="B945" s="8">
        <f>YEAR(A945)</f>
        <v>2026</v>
      </c>
      <c r="C945" s="27" t="str">
        <f>TEXT(A945,"MMMM")</f>
        <v>março</v>
      </c>
      <c r="D945" s="30" t="s">
        <v>77</v>
      </c>
      <c r="E945" s="30" t="s">
        <v>34</v>
      </c>
      <c r="F945" s="31">
        <v>2.7523148148148147E-2</v>
      </c>
      <c r="G945" s="31">
        <v>0.45090277777777776</v>
      </c>
      <c r="H945" s="31">
        <v>0.75031250000000005</v>
      </c>
      <c r="I945" s="43">
        <f>H945-G945</f>
        <v>0.29940972222222229</v>
      </c>
      <c r="J945" s="43">
        <v>0.3</v>
      </c>
      <c r="K945" s="2"/>
      <c r="L945" s="3">
        <f>J945-I945</f>
        <v>5.9027777777770352E-4</v>
      </c>
      <c r="M945" s="4">
        <f>F945/I945</f>
        <v>9.1924697514399453E-2</v>
      </c>
      <c r="N945" s="4">
        <f>I945/J945</f>
        <v>0.99803240740740762</v>
      </c>
    </row>
    <row r="946" spans="1:14" x14ac:dyDescent="0.3">
      <c r="A946" s="29">
        <v>46094</v>
      </c>
      <c r="B946" s="8">
        <f>YEAR(A946)</f>
        <v>2026</v>
      </c>
      <c r="C946" s="27" t="str">
        <f>TEXT(A946,"MMMM")</f>
        <v>março</v>
      </c>
      <c r="D946" s="30" t="s">
        <v>25</v>
      </c>
      <c r="E946" s="30" t="s">
        <v>21</v>
      </c>
      <c r="F946" s="31">
        <v>5.077546296296296E-2</v>
      </c>
      <c r="G946" s="31">
        <v>0.33254629629629628</v>
      </c>
      <c r="H946" s="31">
        <v>0.65459490740740744</v>
      </c>
      <c r="I946" s="43">
        <f>H946-G946</f>
        <v>0.32204861111111116</v>
      </c>
      <c r="J946" s="43">
        <v>0.3</v>
      </c>
      <c r="K946" s="2">
        <f>I946-J946</f>
        <v>2.2048611111111172E-2</v>
      </c>
      <c r="L946" s="3"/>
      <c r="M946" s="4">
        <f>F946/I946</f>
        <v>0.15766397124887688</v>
      </c>
      <c r="N946" s="4">
        <f>I946/J946</f>
        <v>1.0734953703703707</v>
      </c>
    </row>
    <row r="947" spans="1:14" x14ac:dyDescent="0.3">
      <c r="A947" s="29">
        <v>46094</v>
      </c>
      <c r="B947" s="8">
        <f>YEAR(A947)</f>
        <v>2026</v>
      </c>
      <c r="C947" s="27" t="str">
        <f>TEXT(A947,"MMMM")</f>
        <v>março</v>
      </c>
      <c r="D947" s="30" t="s">
        <v>26</v>
      </c>
      <c r="E947" s="30" t="s">
        <v>15</v>
      </c>
      <c r="F947" s="31">
        <v>3.90625E-2</v>
      </c>
      <c r="G947" s="31">
        <v>0.3369212962962963</v>
      </c>
      <c r="H947" s="31">
        <v>0.63637731481481485</v>
      </c>
      <c r="I947" s="43">
        <f>H947-G947</f>
        <v>0.29945601851851855</v>
      </c>
      <c r="J947" s="43">
        <v>0.3</v>
      </c>
      <c r="K947" s="2"/>
      <c r="L947" s="3">
        <f>J947-I947</f>
        <v>5.4398148148143699E-4</v>
      </c>
      <c r="M947" s="4">
        <f>F947/I947</f>
        <v>0.13044486530359833</v>
      </c>
      <c r="N947" s="4">
        <f>I947/J947</f>
        <v>0.99818672839506184</v>
      </c>
    </row>
    <row r="948" spans="1:14" x14ac:dyDescent="0.3">
      <c r="A948" s="29">
        <v>46094</v>
      </c>
      <c r="B948" s="8">
        <f>YEAR(A948)</f>
        <v>2026</v>
      </c>
      <c r="C948" s="27" t="str">
        <f>TEXT(A948,"MMMM")</f>
        <v>março</v>
      </c>
      <c r="D948" s="30" t="s">
        <v>29</v>
      </c>
      <c r="E948" s="30" t="s">
        <v>34</v>
      </c>
      <c r="F948" s="31">
        <v>4.2858796296296298E-2</v>
      </c>
      <c r="G948" s="31">
        <v>0.33315972222222223</v>
      </c>
      <c r="H948" s="31">
        <v>0.68138888888888893</v>
      </c>
      <c r="I948" s="43">
        <f>H948-G948</f>
        <v>0.3482291666666667</v>
      </c>
      <c r="J948" s="43">
        <v>0.3</v>
      </c>
      <c r="K948" s="2">
        <f>I948-J948</f>
        <v>4.8229166666666712E-2</v>
      </c>
      <c r="L948" s="3"/>
      <c r="M948" s="4">
        <f>F948/I948</f>
        <v>0.12307641173928939</v>
      </c>
      <c r="N948" s="4">
        <f>I948/J948</f>
        <v>1.1607638888888892</v>
      </c>
    </row>
    <row r="949" spans="1:14" x14ac:dyDescent="0.3">
      <c r="A949" s="29">
        <v>46097</v>
      </c>
      <c r="B949" s="8">
        <f>YEAR(A949)</f>
        <v>2026</v>
      </c>
      <c r="C949" s="27" t="str">
        <f>TEXT(A949,"MMMM")</f>
        <v>março</v>
      </c>
      <c r="D949" s="30" t="s">
        <v>16</v>
      </c>
      <c r="E949" s="30" t="s">
        <v>34</v>
      </c>
      <c r="F949" s="31">
        <v>4.3287037037037034E-2</v>
      </c>
      <c r="G949" s="31">
        <v>0.4075462962962963</v>
      </c>
      <c r="H949" s="31">
        <v>0.72053240740740743</v>
      </c>
      <c r="I949" s="43">
        <f>H949-G949</f>
        <v>0.31298611111111113</v>
      </c>
      <c r="J949" s="43">
        <v>0.3</v>
      </c>
      <c r="K949" s="2">
        <f>I949-J949</f>
        <v>1.2986111111111143E-2</v>
      </c>
      <c r="L949" s="3"/>
      <c r="M949" s="4">
        <f>F949/I949</f>
        <v>0.13830337992752012</v>
      </c>
      <c r="N949" s="4">
        <f>I949/J949</f>
        <v>1.0432870370370371</v>
      </c>
    </row>
    <row r="950" spans="1:14" x14ac:dyDescent="0.3">
      <c r="A950" s="29">
        <v>46097</v>
      </c>
      <c r="B950" s="8">
        <f>YEAR(A950)</f>
        <v>2026</v>
      </c>
      <c r="C950" s="27" t="str">
        <f>TEXT(A950,"MMMM")</f>
        <v>março</v>
      </c>
      <c r="D950" s="30" t="s">
        <v>47</v>
      </c>
      <c r="E950" s="30" t="s">
        <v>34</v>
      </c>
      <c r="F950" s="31">
        <v>5.4432870370370368E-2</v>
      </c>
      <c r="G950" s="31">
        <v>0.50791666666666668</v>
      </c>
      <c r="H950" s="31">
        <v>0.75042824074074077</v>
      </c>
      <c r="I950" s="43">
        <f>H950-G950</f>
        <v>0.24251157407407409</v>
      </c>
      <c r="J950" s="43">
        <v>0.25</v>
      </c>
      <c r="K950" s="2"/>
      <c r="L950" s="3">
        <f>J950-I950</f>
        <v>7.4884259259259123E-3</v>
      </c>
      <c r="M950" s="4">
        <f>F950/I950</f>
        <v>0.22445473201928123</v>
      </c>
      <c r="N950" s="4">
        <f>I950/J950</f>
        <v>0.97004629629629635</v>
      </c>
    </row>
    <row r="951" spans="1:14" x14ac:dyDescent="0.3">
      <c r="A951" s="29">
        <v>46097</v>
      </c>
      <c r="B951" s="8">
        <f>YEAR(A951)</f>
        <v>2026</v>
      </c>
      <c r="C951" s="27" t="str">
        <f>TEXT(A951,"MMMM")</f>
        <v>março</v>
      </c>
      <c r="D951" s="30" t="s">
        <v>18</v>
      </c>
      <c r="E951" s="30" t="s">
        <v>34</v>
      </c>
      <c r="F951" s="31">
        <v>3.380787037037037E-2</v>
      </c>
      <c r="G951" s="31">
        <v>0.34702546296296294</v>
      </c>
      <c r="H951" s="31">
        <v>0.63416666666666666</v>
      </c>
      <c r="I951" s="43">
        <f>H951-G951</f>
        <v>0.28714120370370372</v>
      </c>
      <c r="J951" s="43">
        <v>0.3</v>
      </c>
      <c r="K951" s="2"/>
      <c r="L951" s="3">
        <f>J951-I951</f>
        <v>1.2858796296296271E-2</v>
      </c>
      <c r="M951" s="4">
        <f>F951/I951</f>
        <v>0.11773953000927083</v>
      </c>
      <c r="N951" s="4">
        <f>I951/J951</f>
        <v>0.95713734567901243</v>
      </c>
    </row>
    <row r="952" spans="1:14" x14ac:dyDescent="0.3">
      <c r="A952" s="29">
        <v>46097</v>
      </c>
      <c r="B952" s="8">
        <f>YEAR(A952)</f>
        <v>2026</v>
      </c>
      <c r="C952" s="27" t="str">
        <f>TEXT(A952,"MMMM")</f>
        <v>março</v>
      </c>
      <c r="D952" s="30" t="s">
        <v>19</v>
      </c>
      <c r="E952" s="30" t="s">
        <v>34</v>
      </c>
      <c r="F952" s="31">
        <v>3.5428240740740739E-2</v>
      </c>
      <c r="G952" s="31">
        <v>0.33549768518518519</v>
      </c>
      <c r="H952" s="31">
        <v>0.63342592592592595</v>
      </c>
      <c r="I952" s="43">
        <f>H952-G952</f>
        <v>0.29792824074074076</v>
      </c>
      <c r="J952" s="43">
        <v>0.3</v>
      </c>
      <c r="K952" s="2"/>
      <c r="L952" s="3">
        <f>J952-I952</f>
        <v>2.0717592592592315E-3</v>
      </c>
      <c r="M952" s="4">
        <f>F952/I952</f>
        <v>0.11891534905403829</v>
      </c>
      <c r="N952" s="4">
        <f>I952/J952</f>
        <v>0.99309413580246919</v>
      </c>
    </row>
    <row r="953" spans="1:14" x14ac:dyDescent="0.3">
      <c r="A953" s="29">
        <v>46097</v>
      </c>
      <c r="B953" s="8">
        <f>YEAR(A953)</f>
        <v>2026</v>
      </c>
      <c r="C953" s="27" t="str">
        <f>TEXT(A953,"MMMM")</f>
        <v>março</v>
      </c>
      <c r="D953" s="30" t="s">
        <v>69</v>
      </c>
      <c r="E953" s="30" t="s">
        <v>34</v>
      </c>
      <c r="F953" s="31">
        <v>4.7210648148148147E-2</v>
      </c>
      <c r="G953" s="31">
        <v>0.35196759259259258</v>
      </c>
      <c r="H953" s="31">
        <v>0.64116898148148149</v>
      </c>
      <c r="I953" s="43">
        <f>H953-G953</f>
        <v>0.28920138888888891</v>
      </c>
      <c r="J953" s="43">
        <v>0.3</v>
      </c>
      <c r="K953" s="2"/>
      <c r="L953" s="3">
        <f>J953-I953</f>
        <v>1.0798611111111078E-2</v>
      </c>
      <c r="M953" s="4">
        <f>F953/I953</f>
        <v>0.16324488734141751</v>
      </c>
      <c r="N953" s="4">
        <f>I953/J953</f>
        <v>0.96400462962962974</v>
      </c>
    </row>
    <row r="954" spans="1:14" x14ac:dyDescent="0.3">
      <c r="A954" s="29">
        <v>46097</v>
      </c>
      <c r="B954" s="8">
        <f>YEAR(A954)</f>
        <v>2026</v>
      </c>
      <c r="C954" s="27" t="str">
        <f>TEXT(A954,"MMMM")</f>
        <v>março</v>
      </c>
      <c r="D954" s="30" t="s">
        <v>22</v>
      </c>
      <c r="E954" s="30" t="s">
        <v>21</v>
      </c>
      <c r="F954" s="31">
        <v>4.2407407407407408E-2</v>
      </c>
      <c r="G954" s="31">
        <v>0.45188657407407407</v>
      </c>
      <c r="H954" s="31">
        <v>0.7542592592592593</v>
      </c>
      <c r="I954" s="43">
        <f>H954-G954</f>
        <v>0.30237268518518523</v>
      </c>
      <c r="J954" s="43">
        <v>0.3</v>
      </c>
      <c r="K954" s="2">
        <f>I954-J954</f>
        <v>2.3726851851852415E-3</v>
      </c>
      <c r="L954" s="3"/>
      <c r="M954" s="4">
        <f>F954/I954</f>
        <v>0.14024880382775118</v>
      </c>
      <c r="N954" s="4">
        <f>I954/J954</f>
        <v>1.0079089506172842</v>
      </c>
    </row>
    <row r="955" spans="1:14" x14ac:dyDescent="0.3">
      <c r="A955" s="29">
        <v>46097</v>
      </c>
      <c r="B955" s="8">
        <f>YEAR(A955)</f>
        <v>2026</v>
      </c>
      <c r="C955" s="27" t="str">
        <f>TEXT(A955,"MMMM")</f>
        <v>março</v>
      </c>
      <c r="D955" s="30" t="s">
        <v>33</v>
      </c>
      <c r="E955" s="30" t="s">
        <v>34</v>
      </c>
      <c r="F955" s="31">
        <v>3.9282407407407405E-2</v>
      </c>
      <c r="G955" s="31">
        <v>0.33333333333333331</v>
      </c>
      <c r="H955" s="31">
        <v>0.63376157407407407</v>
      </c>
      <c r="I955" s="43">
        <f>H955-G955</f>
        <v>0.30042824074074076</v>
      </c>
      <c r="J955" s="43">
        <v>0.3</v>
      </c>
      <c r="K955" s="2">
        <f>I955-J955</f>
        <v>4.2824074074077068E-4</v>
      </c>
      <c r="L955" s="3"/>
      <c r="M955" s="4">
        <f>F955/I955</f>
        <v>0.13075470971221634</v>
      </c>
      <c r="N955" s="4">
        <f>I955/J955</f>
        <v>1.0014274691358025</v>
      </c>
    </row>
    <row r="956" spans="1:14" x14ac:dyDescent="0.3">
      <c r="A956" s="29">
        <v>46097</v>
      </c>
      <c r="B956" s="8">
        <f>YEAR(A956)</f>
        <v>2026</v>
      </c>
      <c r="C956" s="27" t="str">
        <f>TEXT(A956,"MMMM")</f>
        <v>março</v>
      </c>
      <c r="D956" s="30" t="s">
        <v>76</v>
      </c>
      <c r="E956" s="30" t="s">
        <v>21</v>
      </c>
      <c r="F956" s="31">
        <v>5.8078703703703702E-2</v>
      </c>
      <c r="G956" s="31">
        <v>0.45164351851851853</v>
      </c>
      <c r="H956" s="31">
        <v>0.75148148148148153</v>
      </c>
      <c r="I956" s="43">
        <f>H956-G956</f>
        <v>0.299837962962963</v>
      </c>
      <c r="J956" s="43">
        <v>0.3</v>
      </c>
      <c r="K956" s="2"/>
      <c r="L956" s="3">
        <f>J956-I956</f>
        <v>1.6203703703698835E-4</v>
      </c>
      <c r="M956" s="4">
        <f>F956/I956</f>
        <v>0.19370030108855088</v>
      </c>
      <c r="N956" s="4">
        <f>I956/J956</f>
        <v>0.99945987654321</v>
      </c>
    </row>
    <row r="957" spans="1:14" x14ac:dyDescent="0.3">
      <c r="A957" s="29">
        <v>46097</v>
      </c>
      <c r="B957" s="8">
        <f>YEAR(A957)</f>
        <v>2026</v>
      </c>
      <c r="C957" s="27" t="str">
        <f>TEXT(A957,"MMMM")</f>
        <v>março</v>
      </c>
      <c r="D957" s="30" t="s">
        <v>77</v>
      </c>
      <c r="E957" s="30" t="s">
        <v>34</v>
      </c>
      <c r="F957" s="31">
        <v>2.7905092592592592E-2</v>
      </c>
      <c r="G957" s="31">
        <v>0.44958333333333333</v>
      </c>
      <c r="H957" s="31">
        <v>0.75026620370370367</v>
      </c>
      <c r="I957" s="43">
        <f>H957-G957</f>
        <v>0.30068287037037034</v>
      </c>
      <c r="J957" s="43">
        <v>0.3</v>
      </c>
      <c r="K957" s="2">
        <f>I957-J957</f>
        <v>6.8287037037034759E-4</v>
      </c>
      <c r="L957" s="3"/>
      <c r="M957" s="4">
        <f>F957/I957</f>
        <v>9.2805727703144852E-2</v>
      </c>
      <c r="N957" s="4">
        <f>I957/J957</f>
        <v>1.0022762345679013</v>
      </c>
    </row>
    <row r="958" spans="1:14" x14ac:dyDescent="0.3">
      <c r="A958" s="29">
        <v>46097</v>
      </c>
      <c r="B958" s="8">
        <f>YEAR(A958)</f>
        <v>2026</v>
      </c>
      <c r="C958" s="27" t="str">
        <f>TEXT(A958,"MMMM")</f>
        <v>março</v>
      </c>
      <c r="D958" s="30" t="s">
        <v>25</v>
      </c>
      <c r="E958" s="30" t="s">
        <v>21</v>
      </c>
      <c r="F958" s="31">
        <v>6.8645833333333336E-2</v>
      </c>
      <c r="G958" s="31">
        <v>0.33331018518518518</v>
      </c>
      <c r="H958" s="31">
        <v>0.63355324074074071</v>
      </c>
      <c r="I958" s="43">
        <f>H958-G958</f>
        <v>0.30024305555555553</v>
      </c>
      <c r="J958" s="43">
        <v>0.3</v>
      </c>
      <c r="K958" s="2">
        <f>I958-J958</f>
        <v>2.4305555555553804E-4</v>
      </c>
      <c r="L958" s="3"/>
      <c r="M958" s="4">
        <f>F958/I958</f>
        <v>0.22863420839597551</v>
      </c>
      <c r="N958" s="4">
        <f>I958/J958</f>
        <v>1.0008101851851852</v>
      </c>
    </row>
    <row r="959" spans="1:14" x14ac:dyDescent="0.3">
      <c r="A959" s="29">
        <v>46097</v>
      </c>
      <c r="B959" s="8">
        <f>YEAR(A959)</f>
        <v>2026</v>
      </c>
      <c r="C959" s="27" t="str">
        <f>TEXT(A959,"MMMM")</f>
        <v>março</v>
      </c>
      <c r="D959" s="30" t="s">
        <v>26</v>
      </c>
      <c r="E959" s="30" t="s">
        <v>15</v>
      </c>
      <c r="F959" s="31">
        <v>3.6331018518518519E-2</v>
      </c>
      <c r="G959" s="31">
        <v>0.33773148148148147</v>
      </c>
      <c r="H959" s="31">
        <v>0.63732638888888893</v>
      </c>
      <c r="I959" s="43">
        <f>H959-G959</f>
        <v>0.29959490740740746</v>
      </c>
      <c r="J959" s="43">
        <v>0.3</v>
      </c>
      <c r="K959" s="2"/>
      <c r="L959" s="3">
        <f>J959-I959</f>
        <v>4.0509259259252639E-4</v>
      </c>
      <c r="M959" s="4">
        <f>F959/I959</f>
        <v>0.12126714313308865</v>
      </c>
      <c r="N959" s="4">
        <f>I959/J959</f>
        <v>0.99864969135802495</v>
      </c>
    </row>
    <row r="960" spans="1:14" x14ac:dyDescent="0.3">
      <c r="A960" s="29">
        <v>46097</v>
      </c>
      <c r="B960" s="8">
        <f>YEAR(A960)</f>
        <v>2026</v>
      </c>
      <c r="C960" s="27" t="str">
        <f>TEXT(A960,"MMMM")</f>
        <v>março</v>
      </c>
      <c r="D960" s="30" t="s">
        <v>68</v>
      </c>
      <c r="E960" s="30" t="s">
        <v>34</v>
      </c>
      <c r="F960" s="31">
        <v>5.2905092592592594E-2</v>
      </c>
      <c r="G960" s="31">
        <v>0.45291666666666669</v>
      </c>
      <c r="H960" s="31">
        <v>0.7502199074074074</v>
      </c>
      <c r="I960" s="43">
        <f>H960-G960</f>
        <v>0.29730324074074072</v>
      </c>
      <c r="J960" s="43">
        <v>0.3</v>
      </c>
      <c r="K960" s="2"/>
      <c r="L960" s="3">
        <f>J960-I960</f>
        <v>2.6967592592592737E-3</v>
      </c>
      <c r="M960" s="4">
        <f>F960/I960</f>
        <v>0.17794993576517307</v>
      </c>
      <c r="N960" s="4">
        <f>I960/J960</f>
        <v>0.99101080246913575</v>
      </c>
    </row>
    <row r="961" spans="1:14" x14ac:dyDescent="0.3">
      <c r="A961" s="29">
        <v>46097</v>
      </c>
      <c r="B961" s="8">
        <f>YEAR(A961)</f>
        <v>2026</v>
      </c>
      <c r="C961" s="27" t="str">
        <f>TEXT(A961,"MMMM")</f>
        <v>março</v>
      </c>
      <c r="D961" s="30" t="s">
        <v>29</v>
      </c>
      <c r="E961" s="30" t="s">
        <v>34</v>
      </c>
      <c r="F961" s="31">
        <v>4.7858796296296295E-2</v>
      </c>
      <c r="G961" s="31">
        <v>0.33280092592592592</v>
      </c>
      <c r="H961" s="31">
        <v>0.63350694444444444</v>
      </c>
      <c r="I961" s="43">
        <f>H961-G961</f>
        <v>0.30070601851851853</v>
      </c>
      <c r="J961" s="43">
        <v>0.3</v>
      </c>
      <c r="K961" s="2">
        <f>I961-J961</f>
        <v>7.0601851851853636E-4</v>
      </c>
      <c r="L961" s="3"/>
      <c r="M961" s="4">
        <f>F961/I961</f>
        <v>0.15915476694507524</v>
      </c>
      <c r="N961" s="4">
        <f>I961/J961</f>
        <v>1.0023533950617285</v>
      </c>
    </row>
    <row r="962" spans="1:14" x14ac:dyDescent="0.3">
      <c r="A962" s="29">
        <v>46098</v>
      </c>
      <c r="B962" s="8">
        <f>YEAR(A962)</f>
        <v>2026</v>
      </c>
      <c r="C962" s="27" t="str">
        <f>TEXT(A962,"MMMM")</f>
        <v>março</v>
      </c>
      <c r="D962" s="30" t="s">
        <v>16</v>
      </c>
      <c r="E962" s="30" t="s">
        <v>34</v>
      </c>
      <c r="F962" s="31">
        <v>4.8437500000000001E-2</v>
      </c>
      <c r="G962" s="31">
        <v>0.33417824074074076</v>
      </c>
      <c r="H962" s="31">
        <v>0.63592592592592589</v>
      </c>
      <c r="I962" s="43">
        <f>H962-G962</f>
        <v>0.30174768518518513</v>
      </c>
      <c r="J962" s="43">
        <v>0.3</v>
      </c>
      <c r="K962" s="2">
        <f>I962-J962</f>
        <v>1.7476851851851438E-3</v>
      </c>
      <c r="L962" s="3"/>
      <c r="M962" s="4">
        <f>F962/I962</f>
        <v>0.16052318668252083</v>
      </c>
      <c r="N962" s="4">
        <f>I962/J962</f>
        <v>1.0058256172839506</v>
      </c>
    </row>
    <row r="963" spans="1:14" x14ac:dyDescent="0.3">
      <c r="A963" s="29">
        <v>46098</v>
      </c>
      <c r="B963" s="8">
        <f>YEAR(A963)</f>
        <v>2026</v>
      </c>
      <c r="C963" s="27" t="str">
        <f>TEXT(A963,"MMMM")</f>
        <v>março</v>
      </c>
      <c r="D963" s="30" t="s">
        <v>47</v>
      </c>
      <c r="E963" s="30" t="s">
        <v>34</v>
      </c>
      <c r="F963" s="31">
        <v>4.2222222222222223E-2</v>
      </c>
      <c r="G963" s="31">
        <v>0.51429398148148153</v>
      </c>
      <c r="H963" s="31">
        <v>0.75015046296296295</v>
      </c>
      <c r="I963" s="43">
        <f>H963-G963</f>
        <v>0.23585648148148142</v>
      </c>
      <c r="J963" s="43">
        <v>0.25</v>
      </c>
      <c r="K963" s="2"/>
      <c r="L963" s="3">
        <f>J963-I963</f>
        <v>1.4143518518518583E-2</v>
      </c>
      <c r="M963" s="4">
        <f>F963/I963</f>
        <v>0.17901658651486904</v>
      </c>
      <c r="N963" s="4">
        <f>I963/J963</f>
        <v>0.94342592592592567</v>
      </c>
    </row>
    <row r="964" spans="1:14" x14ac:dyDescent="0.3">
      <c r="A964" s="29">
        <v>46098</v>
      </c>
      <c r="B964" s="8">
        <f>YEAR(A964)</f>
        <v>2026</v>
      </c>
      <c r="C964" s="27" t="str">
        <f>TEXT(A964,"MMMM")</f>
        <v>março</v>
      </c>
      <c r="D964" s="30" t="s">
        <v>18</v>
      </c>
      <c r="E964" s="30" t="s">
        <v>34</v>
      </c>
      <c r="F964" s="31">
        <v>4.4131944444444446E-2</v>
      </c>
      <c r="G964" s="31">
        <v>0.34070601851851851</v>
      </c>
      <c r="H964" s="31">
        <v>0.65383101851851855</v>
      </c>
      <c r="I964" s="43">
        <f>H964-G964</f>
        <v>0.31312500000000004</v>
      </c>
      <c r="J964" s="43">
        <v>0.3</v>
      </c>
      <c r="K964" s="2">
        <f>I964-J964</f>
        <v>1.3125000000000053E-2</v>
      </c>
      <c r="L964" s="3"/>
      <c r="M964" s="4">
        <f>F964/I964</f>
        <v>0.14094034153914392</v>
      </c>
      <c r="N964" s="4">
        <f>I964/J964</f>
        <v>1.0437500000000002</v>
      </c>
    </row>
    <row r="965" spans="1:14" x14ac:dyDescent="0.3">
      <c r="A965" s="29">
        <v>46098</v>
      </c>
      <c r="B965" s="8">
        <f>YEAR(A965)</f>
        <v>2026</v>
      </c>
      <c r="C965" s="27" t="str">
        <f>TEXT(A965,"MMMM")</f>
        <v>março</v>
      </c>
      <c r="D965" s="30" t="s">
        <v>19</v>
      </c>
      <c r="E965" s="30" t="s">
        <v>34</v>
      </c>
      <c r="F965" s="31">
        <v>5.9525462962962961E-2</v>
      </c>
      <c r="G965" s="31">
        <v>0.33511574074074074</v>
      </c>
      <c r="H965" s="31">
        <v>0.63464120370370369</v>
      </c>
      <c r="I965" s="43">
        <f>H965-G965</f>
        <v>0.29952546296296295</v>
      </c>
      <c r="J965" s="43">
        <v>0.3</v>
      </c>
      <c r="K965" s="2"/>
      <c r="L965" s="3">
        <f>J965-I965</f>
        <v>4.745370370370372E-4</v>
      </c>
      <c r="M965" s="4">
        <f>F965/I965</f>
        <v>0.19873256308203563</v>
      </c>
      <c r="N965" s="4">
        <f>I965/J965</f>
        <v>0.99841820987654317</v>
      </c>
    </row>
    <row r="966" spans="1:14" x14ac:dyDescent="0.3">
      <c r="A966" s="29">
        <v>46098</v>
      </c>
      <c r="B966" s="8">
        <f>YEAR(A966)</f>
        <v>2026</v>
      </c>
      <c r="C966" s="27" t="str">
        <f>TEXT(A966,"MMMM")</f>
        <v>março</v>
      </c>
      <c r="D966" s="30" t="s">
        <v>69</v>
      </c>
      <c r="E966" s="30" t="s">
        <v>34</v>
      </c>
      <c r="F966" s="31">
        <v>5.0567129629629629E-2</v>
      </c>
      <c r="G966" s="31">
        <v>0.33471064814814816</v>
      </c>
      <c r="H966" s="31">
        <v>0.63699074074074069</v>
      </c>
      <c r="I966" s="43">
        <f>H966-G966</f>
        <v>0.30228009259259253</v>
      </c>
      <c r="J966" s="43">
        <v>0.3</v>
      </c>
      <c r="K966" s="2">
        <f>I966-J966</f>
        <v>2.2800925925925419E-3</v>
      </c>
      <c r="L966" s="3"/>
      <c r="M966" s="4">
        <f>F966/I966</f>
        <v>0.16728567599647742</v>
      </c>
      <c r="N966" s="4">
        <f>I966/J966</f>
        <v>1.0076003086419751</v>
      </c>
    </row>
    <row r="967" spans="1:14" x14ac:dyDescent="0.3">
      <c r="A967" s="29">
        <v>46098</v>
      </c>
      <c r="B967" s="8">
        <f>YEAR(A967)</f>
        <v>2026</v>
      </c>
      <c r="C967" s="27" t="str">
        <f>TEXT(A967,"MMMM")</f>
        <v>março</v>
      </c>
      <c r="D967" s="30" t="s">
        <v>22</v>
      </c>
      <c r="E967" s="30" t="s">
        <v>21</v>
      </c>
      <c r="F967" s="31">
        <v>4.099537037037037E-2</v>
      </c>
      <c r="G967" s="31">
        <v>0.45192129629629629</v>
      </c>
      <c r="H967" s="31">
        <v>0.75075231481481486</v>
      </c>
      <c r="I967" s="43">
        <f>H967-G967</f>
        <v>0.29883101851851857</v>
      </c>
      <c r="J967" s="43">
        <v>0.3</v>
      </c>
      <c r="K967" s="2"/>
      <c r="L967" s="3">
        <f>J967-I967</f>
        <v>1.1689814814814237E-3</v>
      </c>
      <c r="M967" s="4">
        <f>F967/I967</f>
        <v>0.13718579340795536</v>
      </c>
      <c r="N967" s="4">
        <f>I967/J967</f>
        <v>0.99610339506172862</v>
      </c>
    </row>
    <row r="968" spans="1:14" x14ac:dyDescent="0.3">
      <c r="A968" s="29">
        <v>46098</v>
      </c>
      <c r="B968" s="8">
        <f>YEAR(A968)</f>
        <v>2026</v>
      </c>
      <c r="C968" s="27" t="str">
        <f>TEXT(A968,"MMMM")</f>
        <v>março</v>
      </c>
      <c r="D968" s="30" t="s">
        <v>33</v>
      </c>
      <c r="E968" s="30" t="s">
        <v>34</v>
      </c>
      <c r="F968" s="31">
        <v>4.8032407407407406E-2</v>
      </c>
      <c r="G968" s="31">
        <v>0.33333333333333331</v>
      </c>
      <c r="H968" s="31">
        <v>0.63405092592592593</v>
      </c>
      <c r="I968" s="43">
        <f>H968-G968</f>
        <v>0.30071759259259262</v>
      </c>
      <c r="J968" s="43">
        <v>0.3</v>
      </c>
      <c r="K968" s="2">
        <f>I968-J968</f>
        <v>7.1759259259263075E-4</v>
      </c>
      <c r="L968" s="3"/>
      <c r="M968" s="4">
        <f>F968/I968</f>
        <v>0.15972596412901238</v>
      </c>
      <c r="N968" s="4">
        <f>I968/J968</f>
        <v>1.0023919753086421</v>
      </c>
    </row>
    <row r="969" spans="1:14" x14ac:dyDescent="0.3">
      <c r="A969" s="29">
        <v>46098</v>
      </c>
      <c r="B969" s="8">
        <f>YEAR(A969)</f>
        <v>2026</v>
      </c>
      <c r="C969" s="27" t="str">
        <f>TEXT(A969,"MMMM")</f>
        <v>março</v>
      </c>
      <c r="D969" s="30" t="s">
        <v>76</v>
      </c>
      <c r="E969" s="30" t="s">
        <v>21</v>
      </c>
      <c r="F969" s="31">
        <v>4.0428240740740744E-2</v>
      </c>
      <c r="G969" s="31">
        <v>0.44969907407407406</v>
      </c>
      <c r="H969" s="31">
        <v>0.75101851851851853</v>
      </c>
      <c r="I969" s="43">
        <f>H969-G969</f>
        <v>0.30131944444444447</v>
      </c>
      <c r="J969" s="43">
        <v>0.3</v>
      </c>
      <c r="K969" s="2">
        <f>I969-J969</f>
        <v>1.3194444444444842E-3</v>
      </c>
      <c r="L969" s="3"/>
      <c r="M969" s="4">
        <f>F969/I969</f>
        <v>0.13417069985403701</v>
      </c>
      <c r="N969" s="4">
        <f>I969/J969</f>
        <v>1.0043981481481483</v>
      </c>
    </row>
    <row r="970" spans="1:14" x14ac:dyDescent="0.3">
      <c r="A970" s="29">
        <v>46098</v>
      </c>
      <c r="B970" s="8">
        <f>YEAR(A970)</f>
        <v>2026</v>
      </c>
      <c r="C970" s="27" t="str">
        <f>TEXT(A970,"MMMM")</f>
        <v>março</v>
      </c>
      <c r="D970" s="30" t="s">
        <v>77</v>
      </c>
      <c r="E970" s="30" t="s">
        <v>34</v>
      </c>
      <c r="F970" s="31">
        <v>3.335648148148148E-2</v>
      </c>
      <c r="G970" s="31">
        <v>0.44946759259259261</v>
      </c>
      <c r="H970" s="31">
        <v>0.75023148148148144</v>
      </c>
      <c r="I970" s="43">
        <f>H970-G970</f>
        <v>0.30076388888888883</v>
      </c>
      <c r="J970" s="43">
        <v>0.3</v>
      </c>
      <c r="K970" s="2">
        <f>I970-J970</f>
        <v>7.6388888888884177E-4</v>
      </c>
      <c r="L970" s="3"/>
      <c r="M970" s="4">
        <f>F970/I970</f>
        <v>0.11090587239282693</v>
      </c>
      <c r="N970" s="4">
        <f>I970/J970</f>
        <v>1.0025462962962961</v>
      </c>
    </row>
    <row r="971" spans="1:14" x14ac:dyDescent="0.3">
      <c r="A971" s="29">
        <v>46098</v>
      </c>
      <c r="B971" s="8">
        <f>YEAR(A971)</f>
        <v>2026</v>
      </c>
      <c r="C971" s="27" t="str">
        <f>TEXT(A971,"MMMM")</f>
        <v>março</v>
      </c>
      <c r="D971" s="30" t="s">
        <v>25</v>
      </c>
      <c r="E971" s="30" t="s">
        <v>21</v>
      </c>
      <c r="F971" s="31">
        <v>5.7569444444444444E-2</v>
      </c>
      <c r="G971" s="31">
        <v>0.33236111111111111</v>
      </c>
      <c r="H971" s="31">
        <v>0.63351851851851848</v>
      </c>
      <c r="I971" s="43">
        <f>H971-G971</f>
        <v>0.30115740740740737</v>
      </c>
      <c r="J971" s="43">
        <v>0.3</v>
      </c>
      <c r="K971" s="2">
        <f>I971-J971</f>
        <v>1.1574074074073848E-3</v>
      </c>
      <c r="L971" s="3"/>
      <c r="M971" s="4">
        <f>F971/I971</f>
        <v>0.1911606456571868</v>
      </c>
      <c r="N971" s="4">
        <f>I971/J971</f>
        <v>1.003858024691358</v>
      </c>
    </row>
    <row r="972" spans="1:14" x14ac:dyDescent="0.3">
      <c r="A972" s="29">
        <v>46098</v>
      </c>
      <c r="B972" s="8">
        <f>YEAR(A972)</f>
        <v>2026</v>
      </c>
      <c r="C972" s="27" t="str">
        <f>TEXT(A972,"MMMM")</f>
        <v>março</v>
      </c>
      <c r="D972" s="30" t="s">
        <v>26</v>
      </c>
      <c r="E972" s="30" t="s">
        <v>15</v>
      </c>
      <c r="F972" s="31">
        <v>3.9155092592592596E-2</v>
      </c>
      <c r="G972" s="31">
        <v>0.33450231481481479</v>
      </c>
      <c r="H972" s="31">
        <v>0.63500000000000001</v>
      </c>
      <c r="I972" s="43">
        <f>H972-G972</f>
        <v>0.30049768518518521</v>
      </c>
      <c r="J972" s="43">
        <v>0.3</v>
      </c>
      <c r="K972" s="2">
        <f>I972-J972</f>
        <v>4.9768518518522598E-4</v>
      </c>
      <c r="L972" s="3"/>
      <c r="M972" s="4">
        <f>F972/I972</f>
        <v>0.13030081269498903</v>
      </c>
      <c r="N972" s="4">
        <f>I972/J972</f>
        <v>1.0016589506172842</v>
      </c>
    </row>
    <row r="973" spans="1:14" x14ac:dyDescent="0.3">
      <c r="A973" s="29">
        <v>46098</v>
      </c>
      <c r="B973" s="8">
        <f>YEAR(A973)</f>
        <v>2026</v>
      </c>
      <c r="C973" s="27" t="str">
        <f>TEXT(A973,"MMMM")</f>
        <v>março</v>
      </c>
      <c r="D973" s="30" t="s">
        <v>68</v>
      </c>
      <c r="E973" s="30" t="s">
        <v>34</v>
      </c>
      <c r="F973" s="31">
        <v>5.4293981481481485E-2</v>
      </c>
      <c r="G973" s="31">
        <v>0.45197916666666665</v>
      </c>
      <c r="H973" s="31">
        <v>0.75039351851851854</v>
      </c>
      <c r="I973" s="43">
        <f>H973-G973</f>
        <v>0.29841435185185189</v>
      </c>
      <c r="J973" s="43">
        <v>0.3</v>
      </c>
      <c r="K973" s="2"/>
      <c r="L973" s="3">
        <f>J973-I973</f>
        <v>1.5856481481481E-3</v>
      </c>
      <c r="M973" s="4">
        <f>F973/I973</f>
        <v>0.18194158941938485</v>
      </c>
      <c r="N973" s="4">
        <f>I973/J973</f>
        <v>0.99471450617283963</v>
      </c>
    </row>
    <row r="974" spans="1:14" x14ac:dyDescent="0.3">
      <c r="A974" s="29">
        <v>46098</v>
      </c>
      <c r="B974" s="8">
        <f>YEAR(A974)</f>
        <v>2026</v>
      </c>
      <c r="C974" s="27" t="str">
        <f>TEXT(A974,"MMMM")</f>
        <v>março</v>
      </c>
      <c r="D974" s="30" t="s">
        <v>32</v>
      </c>
      <c r="E974" s="30" t="s">
        <v>34</v>
      </c>
      <c r="F974" s="31">
        <v>4.2025462962962966E-2</v>
      </c>
      <c r="G974" s="31">
        <v>0.4505439814814815</v>
      </c>
      <c r="H974" s="31">
        <v>0.75041666666666662</v>
      </c>
      <c r="I974" s="43">
        <f>H974-G974</f>
        <v>0.29987268518518512</v>
      </c>
      <c r="J974" s="43">
        <v>0.3</v>
      </c>
      <c r="K974" s="2"/>
      <c r="L974" s="3">
        <f>J974-I974</f>
        <v>1.2731481481487172E-4</v>
      </c>
      <c r="M974" s="4">
        <f>F974/I974</f>
        <v>0.14014435138368911</v>
      </c>
      <c r="N974" s="4">
        <f>I974/J974</f>
        <v>0.99957561728395039</v>
      </c>
    </row>
    <row r="975" spans="1:14" x14ac:dyDescent="0.3">
      <c r="A975" s="29">
        <v>46098</v>
      </c>
      <c r="B975" s="8">
        <f>YEAR(A975)</f>
        <v>2026</v>
      </c>
      <c r="C975" s="27" t="str">
        <f>TEXT(A975,"MMMM")</f>
        <v>março</v>
      </c>
      <c r="D975" s="30" t="s">
        <v>29</v>
      </c>
      <c r="E975" s="30" t="s">
        <v>34</v>
      </c>
      <c r="F975" s="31">
        <v>5.8888888888888886E-2</v>
      </c>
      <c r="G975" s="31">
        <v>0.33406249999999998</v>
      </c>
      <c r="H975" s="31">
        <v>0.63616898148148149</v>
      </c>
      <c r="I975" s="43">
        <f>H975-G975</f>
        <v>0.3021064814814815</v>
      </c>
      <c r="J975" s="43">
        <v>0.3</v>
      </c>
      <c r="K975" s="2">
        <f>I975-J975</f>
        <v>2.1064814814815147E-3</v>
      </c>
      <c r="L975" s="3"/>
      <c r="M975" s="4">
        <f>F975/I975</f>
        <v>0.19492759175542101</v>
      </c>
      <c r="N975" s="4">
        <f>I975/J975</f>
        <v>1.0070216049382716</v>
      </c>
    </row>
    <row r="976" spans="1:14" x14ac:dyDescent="0.3">
      <c r="A976" s="29">
        <v>46099</v>
      </c>
      <c r="B976" s="8">
        <f>YEAR(A976)</f>
        <v>2026</v>
      </c>
      <c r="C976" s="27" t="str">
        <f>TEXT(A976,"MMMM")</f>
        <v>março</v>
      </c>
      <c r="D976" s="30" t="s">
        <v>16</v>
      </c>
      <c r="E976" s="30" t="s">
        <v>34</v>
      </c>
      <c r="F976" s="31">
        <v>5.2349537037037035E-2</v>
      </c>
      <c r="G976" s="31">
        <v>0.34284722222222225</v>
      </c>
      <c r="H976" s="31">
        <v>0.71193287037037034</v>
      </c>
      <c r="I976" s="43">
        <f>H976-G976</f>
        <v>0.36908564814814809</v>
      </c>
      <c r="J976" s="43">
        <v>0.3</v>
      </c>
      <c r="K976" s="2">
        <f>I976-J976</f>
        <v>6.9085648148148104E-2</v>
      </c>
      <c r="L976" s="3"/>
      <c r="M976" s="4">
        <f>F976/I976</f>
        <v>0.14183574273260374</v>
      </c>
      <c r="N976" s="4">
        <f>I976/J976</f>
        <v>1.2302854938271603</v>
      </c>
    </row>
    <row r="977" spans="1:14" x14ac:dyDescent="0.3">
      <c r="A977" s="29">
        <v>46099</v>
      </c>
      <c r="B977" s="8">
        <f>YEAR(A977)</f>
        <v>2026</v>
      </c>
      <c r="C977" s="27" t="str">
        <f>TEXT(A977,"MMMM")</f>
        <v>março</v>
      </c>
      <c r="D977" s="30" t="s">
        <v>47</v>
      </c>
      <c r="E977" s="30" t="s">
        <v>34</v>
      </c>
      <c r="F977" s="31">
        <v>5.2060185185185189E-2</v>
      </c>
      <c r="G977" s="31">
        <v>0.51642361111111112</v>
      </c>
      <c r="H977" s="31">
        <v>0.75057870370370372</v>
      </c>
      <c r="I977" s="43">
        <f>H977-G977</f>
        <v>0.2341550925925926</v>
      </c>
      <c r="J977" s="43">
        <v>0.25</v>
      </c>
      <c r="K977" s="2"/>
      <c r="L977" s="3">
        <f>J977-I977</f>
        <v>1.5844907407407405E-2</v>
      </c>
      <c r="M977" s="4">
        <f>F977/I977</f>
        <v>0.22233206465325492</v>
      </c>
      <c r="N977" s="4">
        <f>I977/J977</f>
        <v>0.93662037037037038</v>
      </c>
    </row>
    <row r="978" spans="1:14" x14ac:dyDescent="0.3">
      <c r="A978" s="29">
        <v>46099</v>
      </c>
      <c r="B978" s="8">
        <f>YEAR(A978)</f>
        <v>2026</v>
      </c>
      <c r="C978" s="27" t="str">
        <f>TEXT(A978,"MMMM")</f>
        <v>março</v>
      </c>
      <c r="D978" s="30" t="s">
        <v>18</v>
      </c>
      <c r="E978" s="30" t="s">
        <v>34</v>
      </c>
      <c r="F978" s="31">
        <v>3.3263888888888891E-2</v>
      </c>
      <c r="G978" s="31">
        <v>0.34846064814814814</v>
      </c>
      <c r="H978" s="31">
        <v>0.71273148148148147</v>
      </c>
      <c r="I978" s="43">
        <f>H978-G978</f>
        <v>0.36427083333333332</v>
      </c>
      <c r="J978" s="43">
        <v>0.3</v>
      </c>
      <c r="K978" s="2">
        <f>I978-J978</f>
        <v>6.4270833333333333E-2</v>
      </c>
      <c r="L978" s="3"/>
      <c r="M978" s="4">
        <f>F978/I978</f>
        <v>9.1316366409303226E-2</v>
      </c>
      <c r="N978" s="4">
        <f>I978/J978</f>
        <v>1.2142361111111111</v>
      </c>
    </row>
    <row r="979" spans="1:14" x14ac:dyDescent="0.3">
      <c r="A979" s="29">
        <v>46099</v>
      </c>
      <c r="B979" s="8">
        <f>YEAR(A979)</f>
        <v>2026</v>
      </c>
      <c r="C979" s="27" t="str">
        <f>TEXT(A979,"MMMM")</f>
        <v>março</v>
      </c>
      <c r="D979" s="30" t="s">
        <v>19</v>
      </c>
      <c r="E979" s="30" t="s">
        <v>34</v>
      </c>
      <c r="F979" s="31">
        <v>4.1226851851851855E-2</v>
      </c>
      <c r="G979" s="31">
        <v>0.37282407407407409</v>
      </c>
      <c r="H979" s="31">
        <v>0.6335763888888889</v>
      </c>
      <c r="I979" s="43">
        <f>H979-G979</f>
        <v>0.26075231481481481</v>
      </c>
      <c r="J979" s="43">
        <v>0.3</v>
      </c>
      <c r="K979" s="2"/>
      <c r="L979" s="3">
        <f>J979-I979</f>
        <v>3.9247685185185177E-2</v>
      </c>
      <c r="M979" s="4">
        <f>F979/I979</f>
        <v>0.15810732833237162</v>
      </c>
      <c r="N979" s="4">
        <f>I979/J979</f>
        <v>0.86917438271604941</v>
      </c>
    </row>
    <row r="980" spans="1:14" x14ac:dyDescent="0.3">
      <c r="A980" s="29">
        <v>46099</v>
      </c>
      <c r="B980" s="8">
        <f>YEAR(A980)</f>
        <v>2026</v>
      </c>
      <c r="C980" s="27" t="str">
        <f>TEXT(A980,"MMMM")</f>
        <v>março</v>
      </c>
      <c r="D980" s="30" t="s">
        <v>22</v>
      </c>
      <c r="E980" s="30" t="s">
        <v>21</v>
      </c>
      <c r="F980" s="31">
        <v>3.3576388888888892E-2</v>
      </c>
      <c r="G980" s="31">
        <v>0.45092592592592595</v>
      </c>
      <c r="H980" s="31">
        <v>0.75053240740740745</v>
      </c>
      <c r="I980" s="43">
        <f>H980-G980</f>
        <v>0.2996064814814815</v>
      </c>
      <c r="J980" s="43">
        <v>0.3</v>
      </c>
      <c r="K980" s="2"/>
      <c r="L980" s="3">
        <f>J980-I980</f>
        <v>3.9351851851848751E-4</v>
      </c>
      <c r="M980" s="4">
        <f>F980/I980</f>
        <v>0.1120682994668933</v>
      </c>
      <c r="N980" s="4">
        <f>I980/J980</f>
        <v>0.99868827160493834</v>
      </c>
    </row>
    <row r="981" spans="1:14" x14ac:dyDescent="0.3">
      <c r="A981" s="29">
        <v>46099</v>
      </c>
      <c r="B981" s="8">
        <f>YEAR(A981)</f>
        <v>2026</v>
      </c>
      <c r="C981" s="27" t="str">
        <f>TEXT(A981,"MMMM")</f>
        <v>março</v>
      </c>
      <c r="D981" s="30" t="s">
        <v>33</v>
      </c>
      <c r="E981" s="30" t="s">
        <v>34</v>
      </c>
      <c r="F981" s="31">
        <v>3.4386574074074076E-2</v>
      </c>
      <c r="G981" s="31">
        <v>0.3336574074074074</v>
      </c>
      <c r="H981" s="31">
        <v>0.63356481481481486</v>
      </c>
      <c r="I981" s="43">
        <f>H981-G981</f>
        <v>0.29990740740740746</v>
      </c>
      <c r="J981" s="43">
        <v>0.3</v>
      </c>
      <c r="K981" s="2"/>
      <c r="L981" s="3">
        <f>J981-I981</f>
        <v>9.2592592592533052E-5</v>
      </c>
      <c r="M981" s="4">
        <f>F981/I981</f>
        <v>0.1146573016363075</v>
      </c>
      <c r="N981" s="4">
        <f>I981/J981</f>
        <v>0.99969135802469156</v>
      </c>
    </row>
    <row r="982" spans="1:14" x14ac:dyDescent="0.3">
      <c r="A982" s="29">
        <v>46099</v>
      </c>
      <c r="B982" s="8">
        <f>YEAR(A982)</f>
        <v>2026</v>
      </c>
      <c r="C982" s="27" t="str">
        <f>TEXT(A982,"MMMM")</f>
        <v>março</v>
      </c>
      <c r="D982" s="30" t="s">
        <v>76</v>
      </c>
      <c r="E982" s="30" t="s">
        <v>21</v>
      </c>
      <c r="F982" s="31">
        <v>3.4594907407407408E-2</v>
      </c>
      <c r="G982" s="31">
        <v>0.4279513888888889</v>
      </c>
      <c r="H982" s="31">
        <v>0.6025462962962963</v>
      </c>
      <c r="I982" s="43">
        <f>H982-G982</f>
        <v>0.17459490740740741</v>
      </c>
      <c r="J982" s="43">
        <v>0.3</v>
      </c>
      <c r="K982" s="2"/>
      <c r="L982" s="3">
        <f>J982-I982</f>
        <v>0.12540509259259258</v>
      </c>
      <c r="M982" s="4">
        <f>F982/I982</f>
        <v>0.19814385150812064</v>
      </c>
      <c r="N982" s="4">
        <f>I982/J982</f>
        <v>0.5819830246913581</v>
      </c>
    </row>
    <row r="983" spans="1:14" x14ac:dyDescent="0.3">
      <c r="A983" s="29">
        <v>46099</v>
      </c>
      <c r="B983" s="8">
        <f>YEAR(A983)</f>
        <v>2026</v>
      </c>
      <c r="C983" s="27" t="str">
        <f>TEXT(A983,"MMMM")</f>
        <v>março</v>
      </c>
      <c r="D983" s="30" t="s">
        <v>77</v>
      </c>
      <c r="E983" s="30" t="s">
        <v>34</v>
      </c>
      <c r="F983" s="31">
        <v>4.6817129629629632E-2</v>
      </c>
      <c r="G983" s="31">
        <v>0.44974537037037038</v>
      </c>
      <c r="H983" s="31">
        <v>0.75238425925925922</v>
      </c>
      <c r="I983" s="43">
        <f>H983-G983</f>
        <v>0.30263888888888885</v>
      </c>
      <c r="J983" s="43">
        <v>0.3</v>
      </c>
      <c r="K983" s="2">
        <f>I983-J983</f>
        <v>2.6388888888888573E-3</v>
      </c>
      <c r="L983" s="3"/>
      <c r="M983" s="4">
        <f>F983/I983</f>
        <v>0.15469634388863396</v>
      </c>
      <c r="N983" s="4">
        <f>I983/J983</f>
        <v>1.0087962962962962</v>
      </c>
    </row>
    <row r="984" spans="1:14" x14ac:dyDescent="0.3">
      <c r="A984" s="29">
        <v>46099</v>
      </c>
      <c r="B984" s="8">
        <f>YEAR(A984)</f>
        <v>2026</v>
      </c>
      <c r="C984" s="27" t="str">
        <f>TEXT(A984,"MMMM")</f>
        <v>março</v>
      </c>
      <c r="D984" s="30" t="s">
        <v>25</v>
      </c>
      <c r="E984" s="30" t="s">
        <v>21</v>
      </c>
      <c r="F984" s="31">
        <v>4.6666666666666669E-2</v>
      </c>
      <c r="G984" s="31">
        <v>0.33421296296296299</v>
      </c>
      <c r="H984" s="31">
        <v>0.63370370370370366</v>
      </c>
      <c r="I984" s="43">
        <f>H984-G984</f>
        <v>0.29949074074074067</v>
      </c>
      <c r="J984" s="43">
        <v>0.3</v>
      </c>
      <c r="K984" s="2"/>
      <c r="L984" s="3">
        <f>J984-I984</f>
        <v>5.0925925925932036E-4</v>
      </c>
      <c r="M984" s="4">
        <f>F984/I984</f>
        <v>0.15582006492502709</v>
      </c>
      <c r="N984" s="4">
        <f>I984/J984</f>
        <v>0.99830246913580223</v>
      </c>
    </row>
    <row r="985" spans="1:14" x14ac:dyDescent="0.3">
      <c r="A985" s="29">
        <v>46099</v>
      </c>
      <c r="B985" s="8">
        <f>YEAR(A985)</f>
        <v>2026</v>
      </c>
      <c r="C985" s="27" t="str">
        <f>TEXT(A985,"MMMM")</f>
        <v>março</v>
      </c>
      <c r="D985" s="30" t="s">
        <v>26</v>
      </c>
      <c r="E985" s="30" t="s">
        <v>15</v>
      </c>
      <c r="F985" s="31">
        <v>3.5509259259259261E-2</v>
      </c>
      <c r="G985" s="31">
        <v>0.34940972222222222</v>
      </c>
      <c r="H985" s="31">
        <v>0.67550925925925931</v>
      </c>
      <c r="I985" s="43">
        <f>H985-G985</f>
        <v>0.32609953703703709</v>
      </c>
      <c r="J985" s="43">
        <v>0.3</v>
      </c>
      <c r="K985" s="2">
        <f>I985-J985</f>
        <v>2.6099537037037102E-2</v>
      </c>
      <c r="L985" s="3"/>
      <c r="M985" s="4">
        <f>F985/I985</f>
        <v>0.10889086069210292</v>
      </c>
      <c r="N985" s="4">
        <f>I985/J985</f>
        <v>1.0869984567901236</v>
      </c>
    </row>
    <row r="986" spans="1:14" x14ac:dyDescent="0.3">
      <c r="A986" s="29">
        <v>46099</v>
      </c>
      <c r="B986" s="8">
        <f>YEAR(A986)</f>
        <v>2026</v>
      </c>
      <c r="C986" s="27" t="str">
        <f>TEXT(A986,"MMMM")</f>
        <v>março</v>
      </c>
      <c r="D986" s="30" t="s">
        <v>68</v>
      </c>
      <c r="E986" s="30" t="s">
        <v>34</v>
      </c>
      <c r="F986" s="31">
        <v>5.4467592592592595E-2</v>
      </c>
      <c r="G986" s="31">
        <v>0.46643518518518517</v>
      </c>
      <c r="H986" s="31">
        <v>0.75028935185185186</v>
      </c>
      <c r="I986" s="43">
        <f>H986-G986</f>
        <v>0.28385416666666669</v>
      </c>
      <c r="J986" s="43">
        <v>0.3</v>
      </c>
      <c r="K986" s="2"/>
      <c r="L986" s="3">
        <f>J986-I986</f>
        <v>1.6145833333333304E-2</v>
      </c>
      <c r="M986" s="4">
        <f>F986/I986</f>
        <v>0.19188583078491336</v>
      </c>
      <c r="N986" s="4">
        <f>I986/J986</f>
        <v>0.94618055555555569</v>
      </c>
    </row>
    <row r="987" spans="1:14" x14ac:dyDescent="0.3">
      <c r="A987" s="29">
        <v>46099</v>
      </c>
      <c r="B987" s="8">
        <f>YEAR(A987)</f>
        <v>2026</v>
      </c>
      <c r="C987" s="27" t="str">
        <f>TEXT(A987,"MMMM")</f>
        <v>março</v>
      </c>
      <c r="D987" s="30" t="s">
        <v>32</v>
      </c>
      <c r="E987" s="30" t="s">
        <v>34</v>
      </c>
      <c r="F987" s="31">
        <v>4.417824074074074E-2</v>
      </c>
      <c r="G987" s="31">
        <v>0.45202546296296298</v>
      </c>
      <c r="H987" s="31">
        <v>0.75028935185185186</v>
      </c>
      <c r="I987" s="43">
        <f>H987-G987</f>
        <v>0.29826388888888888</v>
      </c>
      <c r="J987" s="43">
        <v>0.3</v>
      </c>
      <c r="K987" s="2"/>
      <c r="L987" s="3">
        <f>J987-I987</f>
        <v>1.7361111111111049E-3</v>
      </c>
      <c r="M987" s="4">
        <f>F987/I987</f>
        <v>0.14811796662786186</v>
      </c>
      <c r="N987" s="4">
        <f>I987/J987</f>
        <v>0.99421296296296302</v>
      </c>
    </row>
    <row r="988" spans="1:14" x14ac:dyDescent="0.3">
      <c r="A988" s="29">
        <v>46099</v>
      </c>
      <c r="B988" s="8">
        <f>YEAR(A988)</f>
        <v>2026</v>
      </c>
      <c r="C988" s="27" t="str">
        <f>TEXT(A988,"MMMM")</f>
        <v>março</v>
      </c>
      <c r="D988" s="30" t="s">
        <v>29</v>
      </c>
      <c r="E988" s="30" t="s">
        <v>34</v>
      </c>
      <c r="F988" s="31">
        <v>5.2592592592592594E-2</v>
      </c>
      <c r="G988" s="31">
        <v>0.34868055555555555</v>
      </c>
      <c r="H988" s="31">
        <v>0.70759259259259255</v>
      </c>
      <c r="I988" s="43">
        <f>H988-G988</f>
        <v>0.358912037037037</v>
      </c>
      <c r="J988" s="43">
        <v>0.3</v>
      </c>
      <c r="K988" s="2">
        <f>I988-J988</f>
        <v>5.8912037037037013E-2</v>
      </c>
      <c r="L988" s="3"/>
      <c r="M988" s="4">
        <f>F988/I988</f>
        <v>0.14653337633021607</v>
      </c>
      <c r="N988" s="4">
        <f>I988/J988</f>
        <v>1.1963734567901234</v>
      </c>
    </row>
    <row r="989" spans="1:14" x14ac:dyDescent="0.3">
      <c r="A989" s="29">
        <v>46101</v>
      </c>
      <c r="B989" s="8">
        <f>YEAR(A989)</f>
        <v>2026</v>
      </c>
      <c r="C989" s="27" t="str">
        <f>TEXT(A989,"MMMM")</f>
        <v>março</v>
      </c>
      <c r="D989" s="30" t="s">
        <v>16</v>
      </c>
      <c r="E989" s="30" t="s">
        <v>34</v>
      </c>
      <c r="F989" s="31">
        <v>4.8402777777777781E-2</v>
      </c>
      <c r="G989" s="31">
        <v>0.33399305555555553</v>
      </c>
      <c r="H989" s="31">
        <v>0.63369212962962962</v>
      </c>
      <c r="I989" s="43">
        <f>H989-G989</f>
        <v>0.29969907407407409</v>
      </c>
      <c r="J989" s="43">
        <v>0.3</v>
      </c>
      <c r="K989" s="2"/>
      <c r="L989" s="3">
        <f>J989-I989</f>
        <v>3.0092592592589895E-4</v>
      </c>
      <c r="M989" s="4">
        <f>F989/I989</f>
        <v>0.16150459565922606</v>
      </c>
      <c r="N989" s="4">
        <f>I989/J989</f>
        <v>0.998996913580247</v>
      </c>
    </row>
    <row r="990" spans="1:14" x14ac:dyDescent="0.3">
      <c r="A990" s="29">
        <v>46101</v>
      </c>
      <c r="B990" s="8">
        <f>YEAR(A990)</f>
        <v>2026</v>
      </c>
      <c r="C990" s="27" t="str">
        <f>TEXT(A990,"MMMM")</f>
        <v>março</v>
      </c>
      <c r="D990" s="30" t="s">
        <v>47</v>
      </c>
      <c r="E990" s="30" t="s">
        <v>34</v>
      </c>
      <c r="F990" s="31">
        <v>3.7037037037037035E-2</v>
      </c>
      <c r="G990" s="31">
        <v>0.51394675925925926</v>
      </c>
      <c r="H990" s="31">
        <v>0.75452546296296297</v>
      </c>
      <c r="I990" s="43">
        <f>H990-G990</f>
        <v>0.24057870370370371</v>
      </c>
      <c r="J990" s="43">
        <v>0.25</v>
      </c>
      <c r="K990" s="2"/>
      <c r="L990" s="3">
        <f>J990-I990</f>
        <v>9.4212962962962887E-3</v>
      </c>
      <c r="M990" s="4">
        <f>F990/I990</f>
        <v>0.1539497738862696</v>
      </c>
      <c r="N990" s="4">
        <f>I990/J990</f>
        <v>0.96231481481481485</v>
      </c>
    </row>
    <row r="991" spans="1:14" x14ac:dyDescent="0.3">
      <c r="A991" s="29">
        <v>46101</v>
      </c>
      <c r="B991" s="8">
        <f>YEAR(A991)</f>
        <v>2026</v>
      </c>
      <c r="C991" s="27" t="str">
        <f>TEXT(A991,"MMMM")</f>
        <v>março</v>
      </c>
      <c r="D991" s="30" t="s">
        <v>18</v>
      </c>
      <c r="E991" s="30" t="s">
        <v>34</v>
      </c>
      <c r="F991" s="31">
        <v>3.4467592592592591E-2</v>
      </c>
      <c r="G991" s="31">
        <v>0.34988425925925926</v>
      </c>
      <c r="H991" s="31">
        <v>0.66030092592592593</v>
      </c>
      <c r="I991" s="43">
        <f>H991-G991</f>
        <v>0.31041666666666667</v>
      </c>
      <c r="J991" s="43">
        <v>0.3</v>
      </c>
      <c r="K991" s="2">
        <f>I991-J991</f>
        <v>1.0416666666666685E-2</v>
      </c>
      <c r="L991" s="3"/>
      <c r="M991" s="4">
        <f>F991/I991</f>
        <v>0.11103653989560029</v>
      </c>
      <c r="N991" s="4">
        <f>I991/J991</f>
        <v>1.0347222222222223</v>
      </c>
    </row>
    <row r="992" spans="1:14" x14ac:dyDescent="0.3">
      <c r="A992" s="29">
        <v>46101</v>
      </c>
      <c r="B992" s="8">
        <f>YEAR(A992)</f>
        <v>2026</v>
      </c>
      <c r="C992" s="27" t="str">
        <f>TEXT(A992,"MMMM")</f>
        <v>março</v>
      </c>
      <c r="D992" s="30" t="s">
        <v>19</v>
      </c>
      <c r="E992" s="30" t="s">
        <v>34</v>
      </c>
      <c r="F992" s="31">
        <v>5.2557870370370373E-2</v>
      </c>
      <c r="G992" s="31">
        <v>0.33384259259259258</v>
      </c>
      <c r="H992" s="31">
        <v>0.63378472222222226</v>
      </c>
      <c r="I992" s="43">
        <f>H992-G992</f>
        <v>0.29994212962962968</v>
      </c>
      <c r="J992" s="43">
        <v>0.3</v>
      </c>
      <c r="K992" s="2"/>
      <c r="L992" s="3">
        <f>J992-I992</f>
        <v>5.7870370370305402E-5</v>
      </c>
      <c r="M992" s="4">
        <f>F992/I992</f>
        <v>0.17522670268184448</v>
      </c>
      <c r="N992" s="4">
        <f>I992/J992</f>
        <v>0.99980709876543228</v>
      </c>
    </row>
    <row r="993" spans="1:14" x14ac:dyDescent="0.3">
      <c r="A993" s="29">
        <v>46101</v>
      </c>
      <c r="B993" s="8">
        <f>YEAR(A993)</f>
        <v>2026</v>
      </c>
      <c r="C993" s="27" t="str">
        <f>TEXT(A993,"MMMM")</f>
        <v>março</v>
      </c>
      <c r="D993" s="30" t="s">
        <v>22</v>
      </c>
      <c r="E993" s="30" t="s">
        <v>21</v>
      </c>
      <c r="F993" s="31">
        <v>4.763888888888889E-2</v>
      </c>
      <c r="G993" s="31">
        <v>0.45532407407407405</v>
      </c>
      <c r="H993" s="31">
        <v>0.75114583333333329</v>
      </c>
      <c r="I993" s="43">
        <f>H993-G993</f>
        <v>0.29582175925925924</v>
      </c>
      <c r="J993" s="43">
        <v>0.3</v>
      </c>
      <c r="K993" s="2"/>
      <c r="L993" s="3">
        <f>J993-I993</f>
        <v>4.1782407407407463E-3</v>
      </c>
      <c r="M993" s="4">
        <f>F993/I993</f>
        <v>0.16103916428655268</v>
      </c>
      <c r="N993" s="4">
        <f>I993/J993</f>
        <v>0.98607253086419755</v>
      </c>
    </row>
    <row r="994" spans="1:14" x14ac:dyDescent="0.3">
      <c r="A994" s="29">
        <v>46101</v>
      </c>
      <c r="B994" s="8">
        <f>YEAR(A994)</f>
        <v>2026</v>
      </c>
      <c r="C994" s="27" t="str">
        <f>TEXT(A994,"MMMM")</f>
        <v>março</v>
      </c>
      <c r="D994" s="30" t="s">
        <v>33</v>
      </c>
      <c r="E994" s="30" t="s">
        <v>34</v>
      </c>
      <c r="F994" s="31">
        <v>3.560185185185185E-2</v>
      </c>
      <c r="G994" s="31">
        <v>0.33351851851851849</v>
      </c>
      <c r="H994" s="31">
        <v>0.63391203703703702</v>
      </c>
      <c r="I994" s="43">
        <f>H994-G994</f>
        <v>0.30039351851851853</v>
      </c>
      <c r="J994" s="43">
        <v>0.3</v>
      </c>
      <c r="K994" s="2">
        <f>I994-J994</f>
        <v>3.9351851851854303E-4</v>
      </c>
      <c r="L994" s="3"/>
      <c r="M994" s="4">
        <f>F994/I994</f>
        <v>0.11851737689758803</v>
      </c>
      <c r="N994" s="4">
        <f>I994/J994</f>
        <v>1.0013117283950619</v>
      </c>
    </row>
    <row r="995" spans="1:14" x14ac:dyDescent="0.3">
      <c r="A995" s="29">
        <v>46101</v>
      </c>
      <c r="B995" s="8">
        <f>YEAR(A995)</f>
        <v>2026</v>
      </c>
      <c r="C995" s="27" t="str">
        <f>TEXT(A995,"MMMM")</f>
        <v>março</v>
      </c>
      <c r="D995" s="30" t="s">
        <v>76</v>
      </c>
      <c r="E995" s="30" t="s">
        <v>21</v>
      </c>
      <c r="F995" s="31">
        <v>4.6724537037037037E-2</v>
      </c>
      <c r="G995" s="31">
        <v>0.4513888888888889</v>
      </c>
      <c r="H995" s="31">
        <v>0.75203703703703706</v>
      </c>
      <c r="I995" s="43">
        <f>H995-G995</f>
        <v>0.30064814814814816</v>
      </c>
      <c r="J995" s="43">
        <v>0.3</v>
      </c>
      <c r="K995" s="2">
        <f>I995-J995</f>
        <v>6.4814814814817545E-4</v>
      </c>
      <c r="L995" s="3"/>
      <c r="M995" s="4">
        <f>F995/I995</f>
        <v>0.15541268863566368</v>
      </c>
      <c r="N995" s="4">
        <f>I995/J995</f>
        <v>1.0021604938271607</v>
      </c>
    </row>
    <row r="996" spans="1:14" x14ac:dyDescent="0.3">
      <c r="A996" s="29">
        <v>46101</v>
      </c>
      <c r="B996" s="8">
        <f>YEAR(A996)</f>
        <v>2026</v>
      </c>
      <c r="C996" s="27" t="str">
        <f>TEXT(A996,"MMMM")</f>
        <v>março</v>
      </c>
      <c r="D996" s="30" t="s">
        <v>77</v>
      </c>
      <c r="E996" s="30" t="s">
        <v>34</v>
      </c>
      <c r="F996" s="31">
        <v>3.0729166666666665E-2</v>
      </c>
      <c r="G996" s="31">
        <v>0.45175925925925925</v>
      </c>
      <c r="H996" s="31">
        <v>0.75035879629629632</v>
      </c>
      <c r="I996" s="43">
        <f>H996-G996</f>
        <v>0.29859953703703707</v>
      </c>
      <c r="J996" s="43">
        <v>0.3</v>
      </c>
      <c r="K996" s="2"/>
      <c r="L996" s="3">
        <f>J996-I996</f>
        <v>1.4004629629629228E-3</v>
      </c>
      <c r="M996" s="4">
        <f>F996/I996</f>
        <v>0.10291096554130004</v>
      </c>
      <c r="N996" s="4">
        <f>I996/J996</f>
        <v>0.99533179012345696</v>
      </c>
    </row>
    <row r="997" spans="1:14" x14ac:dyDescent="0.3">
      <c r="A997" s="29">
        <v>46101</v>
      </c>
      <c r="B997" s="8">
        <f>YEAR(A997)</f>
        <v>2026</v>
      </c>
      <c r="C997" s="27" t="str">
        <f>TEXT(A997,"MMMM")</f>
        <v>março</v>
      </c>
      <c r="D997" s="30" t="s">
        <v>25</v>
      </c>
      <c r="E997" s="30" t="s">
        <v>21</v>
      </c>
      <c r="F997" s="31">
        <v>4.8287037037037038E-2</v>
      </c>
      <c r="G997" s="31">
        <v>0.36375000000000002</v>
      </c>
      <c r="H997" s="31">
        <v>0.63432870370370376</v>
      </c>
      <c r="I997" s="43">
        <f>H997-G997</f>
        <v>0.27057870370370374</v>
      </c>
      <c r="J997" s="43">
        <v>0.3</v>
      </c>
      <c r="K997" s="2"/>
      <c r="L997" s="3">
        <f>J997-I997</f>
        <v>2.9421296296296251E-2</v>
      </c>
      <c r="M997" s="4">
        <f>F997/I997</f>
        <v>0.178458379673197</v>
      </c>
      <c r="N997" s="4">
        <f>I997/J997</f>
        <v>0.90192901234567913</v>
      </c>
    </row>
    <row r="998" spans="1:14" x14ac:dyDescent="0.3">
      <c r="A998" s="29">
        <v>46101</v>
      </c>
      <c r="B998" s="8">
        <f>YEAR(A998)</f>
        <v>2026</v>
      </c>
      <c r="C998" s="27" t="str">
        <f>TEXT(A998,"MMMM")</f>
        <v>março</v>
      </c>
      <c r="D998" s="30" t="s">
        <v>26</v>
      </c>
      <c r="E998" s="30" t="s">
        <v>15</v>
      </c>
      <c r="F998" s="31">
        <v>3.726851851851852E-2</v>
      </c>
      <c r="G998" s="31">
        <v>0.3333564814814815</v>
      </c>
      <c r="H998" s="31">
        <v>0.6345601851851852</v>
      </c>
      <c r="I998" s="43">
        <f>H998-G998</f>
        <v>0.3012037037037037</v>
      </c>
      <c r="J998" s="43">
        <v>0.3</v>
      </c>
      <c r="K998" s="2">
        <f>I998-J998</f>
        <v>1.2037037037037068E-3</v>
      </c>
      <c r="L998" s="3"/>
      <c r="M998" s="4">
        <f>F998/I998</f>
        <v>0.123731939747925</v>
      </c>
      <c r="N998" s="4">
        <f>I998/J998</f>
        <v>1.0040123456790124</v>
      </c>
    </row>
    <row r="999" spans="1:14" x14ac:dyDescent="0.3">
      <c r="A999" s="29">
        <v>46101</v>
      </c>
      <c r="B999" s="8">
        <f>YEAR(A999)</f>
        <v>2026</v>
      </c>
      <c r="C999" s="27" t="str">
        <f>TEXT(A999,"MMMM")</f>
        <v>março</v>
      </c>
      <c r="D999" s="30" t="s">
        <v>68</v>
      </c>
      <c r="E999" s="30" t="s">
        <v>34</v>
      </c>
      <c r="F999" s="31">
        <v>5.2002314814814814E-2</v>
      </c>
      <c r="G999" s="31">
        <v>0.44827546296296295</v>
      </c>
      <c r="H999" s="31">
        <v>0.75041666666666662</v>
      </c>
      <c r="I999" s="43">
        <f>H999-G999</f>
        <v>0.30214120370370368</v>
      </c>
      <c r="J999" s="43">
        <v>0.3</v>
      </c>
      <c r="K999" s="2">
        <f>I999-J999</f>
        <v>2.1412037037036868E-3</v>
      </c>
      <c r="L999" s="3"/>
      <c r="M999" s="4">
        <f>F999/I999</f>
        <v>0.1721126221030454</v>
      </c>
      <c r="N999" s="4">
        <f>I999/J999</f>
        <v>1.0071373456790123</v>
      </c>
    </row>
    <row r="1000" spans="1:14" x14ac:dyDescent="0.3">
      <c r="A1000" s="29">
        <v>46101</v>
      </c>
      <c r="B1000" s="8">
        <f>YEAR(A1000)</f>
        <v>2026</v>
      </c>
      <c r="C1000" s="27" t="str">
        <f>TEXT(A1000,"MMMM")</f>
        <v>março</v>
      </c>
      <c r="D1000" s="30" t="s">
        <v>29</v>
      </c>
      <c r="E1000" s="30" t="s">
        <v>34</v>
      </c>
      <c r="F1000" s="31">
        <v>5.7268518518518517E-2</v>
      </c>
      <c r="G1000" s="31">
        <v>0.34604166666666669</v>
      </c>
      <c r="H1000" s="31">
        <v>0.63347222222222221</v>
      </c>
      <c r="I1000" s="43">
        <f>H1000-G1000</f>
        <v>0.28743055555555552</v>
      </c>
      <c r="J1000" s="43">
        <v>0.3</v>
      </c>
      <c r="K1000" s="2"/>
      <c r="L1000" s="3">
        <f>J1000-I1000</f>
        <v>1.2569444444444466E-2</v>
      </c>
      <c r="M1000" s="4">
        <f>F1000/I1000</f>
        <v>0.19924297334299751</v>
      </c>
      <c r="N1000" s="4">
        <f>I1000/J1000</f>
        <v>0.95810185185185182</v>
      </c>
    </row>
    <row r="1001" spans="1:14" x14ac:dyDescent="0.3">
      <c r="A1001" s="29">
        <v>46104</v>
      </c>
      <c r="B1001" s="8">
        <f>YEAR(A1001)</f>
        <v>2026</v>
      </c>
      <c r="C1001" s="27" t="str">
        <f>TEXT(A1001,"MMMM")</f>
        <v>março</v>
      </c>
      <c r="D1001" s="30" t="s">
        <v>16</v>
      </c>
      <c r="E1001" s="30" t="s">
        <v>34</v>
      </c>
      <c r="F1001" s="31">
        <v>4.2754629629629629E-2</v>
      </c>
      <c r="G1001" s="31">
        <v>0.33333333333333331</v>
      </c>
      <c r="H1001" s="31">
        <v>0.63348379629629625</v>
      </c>
      <c r="I1001" s="43">
        <f>H1001-G1001</f>
        <v>0.30015046296296294</v>
      </c>
      <c r="J1001" s="43">
        <v>0.3</v>
      </c>
      <c r="K1001" s="2">
        <f>I1001-J1001</f>
        <v>1.5046296296294948E-4</v>
      </c>
      <c r="L1001" s="3"/>
      <c r="M1001" s="4">
        <f>F1001/I1001</f>
        <v>0.14244399028265145</v>
      </c>
      <c r="N1001" s="4">
        <f>I1001/J1001</f>
        <v>1.0005015432098765</v>
      </c>
    </row>
    <row r="1002" spans="1:14" x14ac:dyDescent="0.3">
      <c r="A1002" s="29">
        <v>46104</v>
      </c>
      <c r="B1002" s="8">
        <f>YEAR(A1002)</f>
        <v>2026</v>
      </c>
      <c r="C1002" s="27" t="str">
        <f>TEXT(A1002,"MMMM")</f>
        <v>março</v>
      </c>
      <c r="D1002" s="30" t="s">
        <v>47</v>
      </c>
      <c r="E1002" s="30" t="s">
        <v>34</v>
      </c>
      <c r="F1002" s="31">
        <v>5.5787037037037038E-2</v>
      </c>
      <c r="G1002" s="31">
        <v>0.51171296296296298</v>
      </c>
      <c r="H1002" s="31">
        <v>0.75112268518518521</v>
      </c>
      <c r="I1002" s="43">
        <f>H1002-G1002</f>
        <v>0.23940972222222223</v>
      </c>
      <c r="J1002" s="43">
        <v>0.25</v>
      </c>
      <c r="K1002" s="2"/>
      <c r="L1002" s="3">
        <f>J1002-I1002</f>
        <v>1.0590277777777768E-2</v>
      </c>
      <c r="M1002" s="4">
        <f>F1002/I1002</f>
        <v>0.2330190959632584</v>
      </c>
      <c r="N1002" s="4">
        <f>I1002/J1002</f>
        <v>0.95763888888888893</v>
      </c>
    </row>
    <row r="1003" spans="1:14" x14ac:dyDescent="0.3">
      <c r="A1003" s="29">
        <v>46104</v>
      </c>
      <c r="B1003" s="8">
        <f>YEAR(A1003)</f>
        <v>2026</v>
      </c>
      <c r="C1003" s="27" t="str">
        <f>TEXT(A1003,"MMMM")</f>
        <v>março</v>
      </c>
      <c r="D1003" s="30" t="s">
        <v>18</v>
      </c>
      <c r="E1003" s="30" t="s">
        <v>34</v>
      </c>
      <c r="F1003" s="31">
        <v>3.4594907407407408E-2</v>
      </c>
      <c r="G1003" s="31">
        <v>0.36327546296296298</v>
      </c>
      <c r="H1003" s="31">
        <v>0.67061342592592588</v>
      </c>
      <c r="I1003" s="43">
        <f>H1003-G1003</f>
        <v>0.3073379629629629</v>
      </c>
      <c r="J1003" s="43">
        <v>0.3</v>
      </c>
      <c r="K1003" s="2">
        <f>I1003-J1003</f>
        <v>7.3379629629629073E-3</v>
      </c>
      <c r="L1003" s="3"/>
      <c r="M1003" s="4">
        <f>F1003/I1003</f>
        <v>0.11256307900881225</v>
      </c>
      <c r="N1003" s="4">
        <f>I1003/J1003</f>
        <v>1.0244598765432098</v>
      </c>
    </row>
    <row r="1004" spans="1:14" x14ac:dyDescent="0.3">
      <c r="A1004" s="29">
        <v>46104</v>
      </c>
      <c r="B1004" s="8">
        <f>YEAR(A1004)</f>
        <v>2026</v>
      </c>
      <c r="C1004" s="27" t="str">
        <f>TEXT(A1004,"MMMM")</f>
        <v>março</v>
      </c>
      <c r="D1004" s="30" t="s">
        <v>19</v>
      </c>
      <c r="E1004" s="30" t="s">
        <v>34</v>
      </c>
      <c r="F1004" s="31">
        <v>4.2581018518518518E-2</v>
      </c>
      <c r="G1004" s="31">
        <v>0.33567129629629627</v>
      </c>
      <c r="H1004" s="31">
        <v>0.63480324074074079</v>
      </c>
      <c r="I1004" s="43">
        <f>H1004-G1004</f>
        <v>0.29913194444444452</v>
      </c>
      <c r="J1004" s="43">
        <v>0.3</v>
      </c>
      <c r="K1004" s="2"/>
      <c r="L1004" s="3">
        <f>J1004-I1004</f>
        <v>8.680555555554692E-4</v>
      </c>
      <c r="M1004" s="4">
        <f>F1004/I1004</f>
        <v>0.14234861675372409</v>
      </c>
      <c r="N1004" s="4">
        <f>I1004/J1004</f>
        <v>0.99710648148148173</v>
      </c>
    </row>
    <row r="1005" spans="1:14" x14ac:dyDescent="0.3">
      <c r="A1005" s="29">
        <v>46104</v>
      </c>
      <c r="B1005" s="8">
        <f>YEAR(A1005)</f>
        <v>2026</v>
      </c>
      <c r="C1005" s="27" t="str">
        <f>TEXT(A1005,"MMMM")</f>
        <v>março</v>
      </c>
      <c r="D1005" s="30" t="s">
        <v>69</v>
      </c>
      <c r="E1005" s="30" t="s">
        <v>34</v>
      </c>
      <c r="F1005" s="31">
        <v>4.9039351851851855E-2</v>
      </c>
      <c r="G1005" s="31">
        <v>0.3346527777777778</v>
      </c>
      <c r="H1005" s="31">
        <v>0.65519675925925924</v>
      </c>
      <c r="I1005" s="43">
        <f>H1005-G1005</f>
        <v>0.32054398148148144</v>
      </c>
      <c r="J1005" s="43">
        <v>0.3</v>
      </c>
      <c r="K1005" s="2">
        <f>I1005-J1005</f>
        <v>2.0543981481481455E-2</v>
      </c>
      <c r="L1005" s="3"/>
      <c r="M1005" s="4">
        <f>F1005/I1005</f>
        <v>0.15298790395378231</v>
      </c>
      <c r="N1005" s="4">
        <f>I1005/J1005</f>
        <v>1.0684799382716048</v>
      </c>
    </row>
    <row r="1006" spans="1:14" x14ac:dyDescent="0.3">
      <c r="A1006" s="29">
        <v>46104</v>
      </c>
      <c r="B1006" s="8">
        <f>YEAR(A1006)</f>
        <v>2026</v>
      </c>
      <c r="C1006" s="27" t="str">
        <f>TEXT(A1006,"MMMM")</f>
        <v>março</v>
      </c>
      <c r="D1006" s="30" t="s">
        <v>22</v>
      </c>
      <c r="E1006" s="30" t="s">
        <v>21</v>
      </c>
      <c r="F1006" s="31">
        <v>4.0266203703703707E-2</v>
      </c>
      <c r="G1006" s="31">
        <v>0.46489583333333334</v>
      </c>
      <c r="H1006" s="31">
        <v>0.75289351851851849</v>
      </c>
      <c r="I1006" s="43">
        <f>H1006-G1006</f>
        <v>0.28799768518518515</v>
      </c>
      <c r="J1006" s="43">
        <v>0.3</v>
      </c>
      <c r="K1006" s="2"/>
      <c r="L1006" s="3">
        <f>J1006-I1006</f>
        <v>1.2002314814814841E-2</v>
      </c>
      <c r="M1006" s="4">
        <f>F1006/I1006</f>
        <v>0.13981433106940486</v>
      </c>
      <c r="N1006" s="4">
        <f>I1006/J1006</f>
        <v>0.9599922839506172</v>
      </c>
    </row>
    <row r="1007" spans="1:14" x14ac:dyDescent="0.3">
      <c r="A1007" s="29">
        <v>46104</v>
      </c>
      <c r="B1007" s="8">
        <f>YEAR(A1007)</f>
        <v>2026</v>
      </c>
      <c r="C1007" s="27" t="str">
        <f>TEXT(A1007,"MMMM")</f>
        <v>março</v>
      </c>
      <c r="D1007" s="30" t="s">
        <v>33</v>
      </c>
      <c r="E1007" s="30" t="s">
        <v>34</v>
      </c>
      <c r="F1007" s="31">
        <v>4.1354166666666664E-2</v>
      </c>
      <c r="G1007" s="31">
        <v>0.33333333333333331</v>
      </c>
      <c r="H1007" s="31">
        <v>0.6334953703703704</v>
      </c>
      <c r="I1007" s="43">
        <f>H1007-G1007</f>
        <v>0.30016203703703709</v>
      </c>
      <c r="J1007" s="43">
        <v>0.3</v>
      </c>
      <c r="K1007" s="2">
        <f>I1007-J1007</f>
        <v>1.6203703703709937E-4</v>
      </c>
      <c r="L1007" s="3"/>
      <c r="M1007" s="4">
        <f>F1007/I1007</f>
        <v>0.13777280789696919</v>
      </c>
      <c r="N1007" s="4">
        <f>I1007/J1007</f>
        <v>1.0005401234567903</v>
      </c>
    </row>
    <row r="1008" spans="1:14" x14ac:dyDescent="0.3">
      <c r="A1008" s="29">
        <v>46104</v>
      </c>
      <c r="B1008" s="8">
        <f>YEAR(A1008)</f>
        <v>2026</v>
      </c>
      <c r="C1008" s="27" t="str">
        <f>TEXT(A1008,"MMMM")</f>
        <v>março</v>
      </c>
      <c r="D1008" s="30" t="s">
        <v>76</v>
      </c>
      <c r="E1008" s="30" t="s">
        <v>21</v>
      </c>
      <c r="F1008" s="31">
        <v>4.5775462962962962E-2</v>
      </c>
      <c r="G1008" s="31">
        <v>0.45056712962962964</v>
      </c>
      <c r="H1008" s="31">
        <v>0.75101851851851853</v>
      </c>
      <c r="I1008" s="43">
        <f>H1008-G1008</f>
        <v>0.30045138888888889</v>
      </c>
      <c r="J1008" s="43">
        <v>0.3</v>
      </c>
      <c r="K1008" s="2">
        <f>I1008-J1008</f>
        <v>4.5138888888890394E-4</v>
      </c>
      <c r="L1008" s="3"/>
      <c r="M1008" s="4">
        <f>F1008/I1008</f>
        <v>0.15235563773643052</v>
      </c>
      <c r="N1008" s="4">
        <f>I1008/J1008</f>
        <v>1.0015046296296297</v>
      </c>
    </row>
    <row r="1009" spans="1:14" x14ac:dyDescent="0.3">
      <c r="A1009" s="29">
        <v>46104</v>
      </c>
      <c r="B1009" s="8">
        <f>YEAR(A1009)</f>
        <v>2026</v>
      </c>
      <c r="C1009" s="27" t="str">
        <f>TEXT(A1009,"MMMM")</f>
        <v>março</v>
      </c>
      <c r="D1009" s="30" t="s">
        <v>77</v>
      </c>
      <c r="E1009" s="30" t="s">
        <v>34</v>
      </c>
      <c r="F1009" s="31">
        <v>3.1296296296296294E-2</v>
      </c>
      <c r="G1009" s="31">
        <v>0.44953703703703701</v>
      </c>
      <c r="H1009" s="31">
        <v>0.75137731481481485</v>
      </c>
      <c r="I1009" s="43">
        <f>H1009-G1009</f>
        <v>0.30184027777777783</v>
      </c>
      <c r="J1009" s="43">
        <v>0.3</v>
      </c>
      <c r="K1009" s="2">
        <f>I1009-J1009</f>
        <v>1.8402777777778434E-3</v>
      </c>
      <c r="L1009" s="3"/>
      <c r="M1009" s="4">
        <f>F1009/I1009</f>
        <v>0.10368495724529313</v>
      </c>
      <c r="N1009" s="4">
        <f>I1009/J1009</f>
        <v>1.0061342592592595</v>
      </c>
    </row>
    <row r="1010" spans="1:14" x14ac:dyDescent="0.3">
      <c r="A1010" s="29">
        <v>46104</v>
      </c>
      <c r="B1010" s="8">
        <f>YEAR(A1010)</f>
        <v>2026</v>
      </c>
      <c r="C1010" s="27" t="str">
        <f>TEXT(A1010,"MMMM")</f>
        <v>março</v>
      </c>
      <c r="D1010" s="30" t="s">
        <v>25</v>
      </c>
      <c r="E1010" s="30" t="s">
        <v>21</v>
      </c>
      <c r="F1010" s="31">
        <v>5.5520833333333332E-2</v>
      </c>
      <c r="G1010" s="31">
        <v>0.33427083333333335</v>
      </c>
      <c r="H1010" s="31">
        <v>0.63361111111111112</v>
      </c>
      <c r="I1010" s="43">
        <f>H1010-G1010</f>
        <v>0.29934027777777777</v>
      </c>
      <c r="J1010" s="43">
        <v>0.3</v>
      </c>
      <c r="K1010" s="2"/>
      <c r="L1010" s="3">
        <f>J1010-I1010</f>
        <v>6.5972222222221433E-4</v>
      </c>
      <c r="M1010" s="4">
        <f>F1010/I1010</f>
        <v>0.1854773228163786</v>
      </c>
      <c r="N1010" s="4">
        <f>I1010/J1010</f>
        <v>0.99780092592592595</v>
      </c>
    </row>
    <row r="1011" spans="1:14" x14ac:dyDescent="0.3">
      <c r="A1011" s="29">
        <v>46104</v>
      </c>
      <c r="B1011" s="8">
        <f>YEAR(A1011)</f>
        <v>2026</v>
      </c>
      <c r="C1011" s="27" t="str">
        <f>TEXT(A1011,"MMMM")</f>
        <v>março</v>
      </c>
      <c r="D1011" s="30" t="s">
        <v>26</v>
      </c>
      <c r="E1011" s="30" t="s">
        <v>15</v>
      </c>
      <c r="F1011" s="31">
        <v>3.6249999999999998E-2</v>
      </c>
      <c r="G1011" s="31">
        <v>0.34892361111111109</v>
      </c>
      <c r="H1011" s="31">
        <v>0.63488425925925929</v>
      </c>
      <c r="I1011" s="43">
        <f>H1011-G1011</f>
        <v>0.2859606481481482</v>
      </c>
      <c r="J1011" s="43">
        <v>0.3</v>
      </c>
      <c r="K1011" s="2"/>
      <c r="L1011" s="3">
        <f>J1011-I1011</f>
        <v>1.4039351851851789E-2</v>
      </c>
      <c r="M1011" s="4">
        <f>F1011/I1011</f>
        <v>0.12676569393289347</v>
      </c>
      <c r="N1011" s="4">
        <f>I1011/J1011</f>
        <v>0.95320216049382733</v>
      </c>
    </row>
    <row r="1012" spans="1:14" x14ac:dyDescent="0.3">
      <c r="A1012" s="29">
        <v>46104</v>
      </c>
      <c r="B1012" s="8">
        <f>YEAR(A1012)</f>
        <v>2026</v>
      </c>
      <c r="C1012" s="27" t="str">
        <f>TEXT(A1012,"MMMM")</f>
        <v>março</v>
      </c>
      <c r="D1012" s="30" t="s">
        <v>68</v>
      </c>
      <c r="E1012" s="30" t="s">
        <v>34</v>
      </c>
      <c r="F1012" s="31">
        <v>5.6736111111111112E-2</v>
      </c>
      <c r="G1012" s="31">
        <v>0.45303240740740741</v>
      </c>
      <c r="H1012" s="31">
        <v>0.75009259259259264</v>
      </c>
      <c r="I1012" s="43">
        <f>H1012-G1012</f>
        <v>0.29706018518518523</v>
      </c>
      <c r="J1012" s="43">
        <v>0.3</v>
      </c>
      <c r="K1012" s="2"/>
      <c r="L1012" s="3">
        <f>J1012-I1012</f>
        <v>2.9398148148147563E-3</v>
      </c>
      <c r="M1012" s="4">
        <f>F1012/I1012</f>
        <v>0.19099197381750171</v>
      </c>
      <c r="N1012" s="4">
        <f>I1012/J1012</f>
        <v>0.99020061728395081</v>
      </c>
    </row>
    <row r="1013" spans="1:14" x14ac:dyDescent="0.3">
      <c r="A1013" s="29">
        <v>46104</v>
      </c>
      <c r="B1013" s="8">
        <f>YEAR(A1013)</f>
        <v>2026</v>
      </c>
      <c r="C1013" s="27" t="str">
        <f>TEXT(A1013,"MMMM")</f>
        <v>março</v>
      </c>
      <c r="D1013" s="30" t="s">
        <v>32</v>
      </c>
      <c r="E1013" s="30" t="s">
        <v>34</v>
      </c>
      <c r="F1013" s="31">
        <v>5.3564814814814815E-2</v>
      </c>
      <c r="G1013" s="31">
        <v>0.45393518518518516</v>
      </c>
      <c r="H1013" s="31">
        <v>0.75024305555555559</v>
      </c>
      <c r="I1013" s="43">
        <f>H1013-G1013</f>
        <v>0.29630787037037043</v>
      </c>
      <c r="J1013" s="43">
        <v>0.3</v>
      </c>
      <c r="K1013" s="2"/>
      <c r="L1013" s="3">
        <f>J1013-I1013</f>
        <v>3.6921296296295592E-3</v>
      </c>
      <c r="M1013" s="4">
        <f>F1013/I1013</f>
        <v>0.18077418850826135</v>
      </c>
      <c r="N1013" s="4">
        <f>I1013/J1013</f>
        <v>0.9876929012345681</v>
      </c>
    </row>
    <row r="1014" spans="1:14" x14ac:dyDescent="0.3">
      <c r="A1014" s="29">
        <v>46104</v>
      </c>
      <c r="B1014" s="8">
        <f>YEAR(A1014)</f>
        <v>2026</v>
      </c>
      <c r="C1014" s="27" t="str">
        <f>TEXT(A1014,"MMMM")</f>
        <v>março</v>
      </c>
      <c r="D1014" s="30" t="s">
        <v>29</v>
      </c>
      <c r="E1014" s="30" t="s">
        <v>34</v>
      </c>
      <c r="F1014" s="31">
        <v>5.3148148148148146E-2</v>
      </c>
      <c r="G1014" s="31">
        <v>0.33854166666666669</v>
      </c>
      <c r="H1014" s="31">
        <v>0.63344907407407403</v>
      </c>
      <c r="I1014" s="43">
        <f>H1014-G1014</f>
        <v>0.29490740740740734</v>
      </c>
      <c r="J1014" s="43">
        <v>0.3</v>
      </c>
      <c r="K1014" s="2"/>
      <c r="L1014" s="3">
        <f>J1014-I1014</f>
        <v>5.0925925925926485E-3</v>
      </c>
      <c r="M1014" s="4">
        <f>F1014/I1014</f>
        <v>0.18021978021978025</v>
      </c>
      <c r="N1014" s="4">
        <f>I1014/J1014</f>
        <v>0.9830246913580245</v>
      </c>
    </row>
    <row r="1015" spans="1:14" x14ac:dyDescent="0.3">
      <c r="A1015" s="29">
        <v>46105</v>
      </c>
      <c r="B1015" s="8">
        <f>YEAR(A1015)</f>
        <v>2026</v>
      </c>
      <c r="C1015" s="27" t="str">
        <f>TEXT(A1015,"MMMM")</f>
        <v>março</v>
      </c>
      <c r="D1015" s="30" t="s">
        <v>16</v>
      </c>
      <c r="E1015" s="30" t="s">
        <v>34</v>
      </c>
      <c r="F1015" s="31">
        <v>5.019675925925926E-2</v>
      </c>
      <c r="G1015" s="31">
        <v>0.33405092592592595</v>
      </c>
      <c r="H1015" s="31">
        <v>0.63394675925925925</v>
      </c>
      <c r="I1015" s="43">
        <f>H1015-G1015</f>
        <v>0.29989583333333331</v>
      </c>
      <c r="J1015" s="43">
        <v>0.3</v>
      </c>
      <c r="K1015" s="2"/>
      <c r="L1015" s="3">
        <f>J1015-I1015</f>
        <v>1.0416666666668295E-4</v>
      </c>
      <c r="M1015" s="4">
        <f>F1015/I1015</f>
        <v>0.16738064914515072</v>
      </c>
      <c r="N1015" s="4">
        <f>I1015/J1015</f>
        <v>0.99965277777777772</v>
      </c>
    </row>
    <row r="1016" spans="1:14" x14ac:dyDescent="0.3">
      <c r="A1016" s="29">
        <v>46105</v>
      </c>
      <c r="B1016" s="8">
        <f>YEAR(A1016)</f>
        <v>2026</v>
      </c>
      <c r="C1016" s="27" t="str">
        <f>TEXT(A1016,"MMMM")</f>
        <v>março</v>
      </c>
      <c r="D1016" s="30" t="s">
        <v>47</v>
      </c>
      <c r="E1016" s="30" t="s">
        <v>34</v>
      </c>
      <c r="F1016" s="31">
        <v>4.3715277777777777E-2</v>
      </c>
      <c r="G1016" s="31">
        <v>0.50894675925925925</v>
      </c>
      <c r="H1016" s="31">
        <v>0.75040509259259258</v>
      </c>
      <c r="I1016" s="43">
        <f>H1016-G1016</f>
        <v>0.24145833333333333</v>
      </c>
      <c r="J1016" s="43">
        <v>0.25</v>
      </c>
      <c r="K1016" s="2"/>
      <c r="L1016" s="3">
        <f>J1016-I1016</f>
        <v>8.5416666666666696E-3</v>
      </c>
      <c r="M1016" s="4">
        <f>F1016/I1016</f>
        <v>0.18104687949381651</v>
      </c>
      <c r="N1016" s="4">
        <f>I1016/J1016</f>
        <v>0.96583333333333332</v>
      </c>
    </row>
    <row r="1017" spans="1:14" x14ac:dyDescent="0.3">
      <c r="A1017" s="29">
        <v>46105</v>
      </c>
      <c r="B1017" s="8">
        <f>YEAR(A1017)</f>
        <v>2026</v>
      </c>
      <c r="C1017" s="27" t="str">
        <f>TEXT(A1017,"MMMM")</f>
        <v>março</v>
      </c>
      <c r="D1017" s="30" t="s">
        <v>18</v>
      </c>
      <c r="E1017" s="30" t="s">
        <v>34</v>
      </c>
      <c r="F1017" s="31">
        <v>4.2777777777777776E-2</v>
      </c>
      <c r="G1017" s="31">
        <v>0.33915509259259258</v>
      </c>
      <c r="H1017" s="31">
        <v>0.63537037037037036</v>
      </c>
      <c r="I1017" s="43">
        <f>H1017-G1017</f>
        <v>0.29621527777777779</v>
      </c>
      <c r="J1017" s="43">
        <v>0.3</v>
      </c>
      <c r="K1017" s="2"/>
      <c r="L1017" s="3">
        <f>J1017-I1017</f>
        <v>3.7847222222222032E-3</v>
      </c>
      <c r="M1017" s="4">
        <f>F1017/I1017</f>
        <v>0.14441448833665455</v>
      </c>
      <c r="N1017" s="4">
        <f>I1017/J1017</f>
        <v>0.98738425925925932</v>
      </c>
    </row>
    <row r="1018" spans="1:14" x14ac:dyDescent="0.3">
      <c r="A1018" s="29">
        <v>46105</v>
      </c>
      <c r="B1018" s="8">
        <f>YEAR(A1018)</f>
        <v>2026</v>
      </c>
      <c r="C1018" s="27" t="str">
        <f>TEXT(A1018,"MMMM")</f>
        <v>março</v>
      </c>
      <c r="D1018" s="30" t="s">
        <v>19</v>
      </c>
      <c r="E1018" s="30" t="s">
        <v>34</v>
      </c>
      <c r="F1018" s="31">
        <v>6.2696759259259258E-2</v>
      </c>
      <c r="G1018" s="31">
        <v>0.33575231481481482</v>
      </c>
      <c r="H1018" s="31">
        <v>0.63383101851851853</v>
      </c>
      <c r="I1018" s="43">
        <f>H1018-G1018</f>
        <v>0.29807870370370371</v>
      </c>
      <c r="J1018" s="43">
        <v>0.3</v>
      </c>
      <c r="K1018" s="2"/>
      <c r="L1018" s="3">
        <f>J1018-I1018</f>
        <v>1.9212962962962821E-3</v>
      </c>
      <c r="M1018" s="4">
        <f>F1018/I1018</f>
        <v>0.21033625844529005</v>
      </c>
      <c r="N1018" s="4">
        <f>I1018/J1018</f>
        <v>0.99359567901234569</v>
      </c>
    </row>
    <row r="1019" spans="1:14" x14ac:dyDescent="0.3">
      <c r="A1019" s="29">
        <v>46105</v>
      </c>
      <c r="B1019" s="8">
        <f>YEAR(A1019)</f>
        <v>2026</v>
      </c>
      <c r="C1019" s="27" t="str">
        <f>TEXT(A1019,"MMMM")</f>
        <v>março</v>
      </c>
      <c r="D1019" s="30" t="s">
        <v>69</v>
      </c>
      <c r="E1019" s="30" t="s">
        <v>34</v>
      </c>
      <c r="F1019" s="31">
        <v>5.4837962962962963E-2</v>
      </c>
      <c r="G1019" s="31">
        <v>0.33489583333333334</v>
      </c>
      <c r="H1019" s="31">
        <v>0.63450231481481478</v>
      </c>
      <c r="I1019" s="43">
        <f>H1019-G1019</f>
        <v>0.29960648148148145</v>
      </c>
      <c r="J1019" s="43">
        <v>0.3</v>
      </c>
      <c r="K1019" s="2"/>
      <c r="L1019" s="3">
        <f>J1019-I1019</f>
        <v>3.9351851851854303E-4</v>
      </c>
      <c r="M1019" s="4">
        <f>F1019/I1019</f>
        <v>0.18303329985320252</v>
      </c>
      <c r="N1019" s="4">
        <f>I1019/J1019</f>
        <v>0.99868827160493823</v>
      </c>
    </row>
    <row r="1020" spans="1:14" x14ac:dyDescent="0.3">
      <c r="A1020" s="29">
        <v>46105</v>
      </c>
      <c r="B1020" s="8">
        <f>YEAR(A1020)</f>
        <v>2026</v>
      </c>
      <c r="C1020" s="27" t="str">
        <f>TEXT(A1020,"MMMM")</f>
        <v>março</v>
      </c>
      <c r="D1020" s="30" t="s">
        <v>22</v>
      </c>
      <c r="E1020" s="30" t="s">
        <v>21</v>
      </c>
      <c r="F1020" s="31">
        <v>3.6493055555555556E-2</v>
      </c>
      <c r="G1020" s="31">
        <v>0.45038194444444446</v>
      </c>
      <c r="H1020" s="31">
        <v>0.75271990740740746</v>
      </c>
      <c r="I1020" s="43">
        <f>H1020-G1020</f>
        <v>0.302337962962963</v>
      </c>
      <c r="J1020" s="43">
        <v>0.3</v>
      </c>
      <c r="K1020" s="2">
        <f>I1020-J1020</f>
        <v>2.3379629629630139E-3</v>
      </c>
      <c r="L1020" s="3"/>
      <c r="M1020" s="4">
        <f>F1020/I1020</f>
        <v>0.12070285583033458</v>
      </c>
      <c r="N1020" s="4">
        <f>I1020/J1020</f>
        <v>1.0077932098765434</v>
      </c>
    </row>
    <row r="1021" spans="1:14" x14ac:dyDescent="0.3">
      <c r="A1021" s="29">
        <v>46105</v>
      </c>
      <c r="B1021" s="8">
        <f>YEAR(A1021)</f>
        <v>2026</v>
      </c>
      <c r="C1021" s="27" t="str">
        <f>TEXT(A1021,"MMMM")</f>
        <v>março</v>
      </c>
      <c r="D1021" s="30" t="s">
        <v>33</v>
      </c>
      <c r="E1021" s="30" t="s">
        <v>34</v>
      </c>
      <c r="F1021" s="31">
        <v>4.1261574074074076E-2</v>
      </c>
      <c r="G1021" s="31">
        <v>0.33333333333333331</v>
      </c>
      <c r="H1021" s="31">
        <v>0.63354166666666667</v>
      </c>
      <c r="I1021" s="43">
        <f>H1021-G1021</f>
        <v>0.30020833333333335</v>
      </c>
      <c r="J1021" s="43">
        <v>0.3</v>
      </c>
      <c r="K1021" s="2">
        <f>I1021-J1021</f>
        <v>2.083333333333659E-4</v>
      </c>
      <c r="L1021" s="3"/>
      <c r="M1021" s="4">
        <f>F1021/I1021</f>
        <v>0.13744313362633973</v>
      </c>
      <c r="N1021" s="4">
        <f>I1021/J1021</f>
        <v>1.0006944444444446</v>
      </c>
    </row>
    <row r="1022" spans="1:14" x14ac:dyDescent="0.3">
      <c r="A1022" s="29">
        <v>46105</v>
      </c>
      <c r="B1022" s="8">
        <f>YEAR(A1022)</f>
        <v>2026</v>
      </c>
      <c r="C1022" s="27" t="str">
        <f>TEXT(A1022,"MMMM")</f>
        <v>março</v>
      </c>
      <c r="D1022" s="30" t="s">
        <v>76</v>
      </c>
      <c r="E1022" s="30" t="s">
        <v>21</v>
      </c>
      <c r="F1022" s="31">
        <v>4.0740740740740744E-2</v>
      </c>
      <c r="G1022" s="31">
        <v>0.4516087962962963</v>
      </c>
      <c r="H1022" s="31">
        <v>0.75156250000000002</v>
      </c>
      <c r="I1022" s="43">
        <f>H1022-G1022</f>
        <v>0.29995370370370372</v>
      </c>
      <c r="J1022" s="43">
        <v>0.3</v>
      </c>
      <c r="K1022" s="2"/>
      <c r="L1022" s="3">
        <f>J1022-I1022</f>
        <v>4.6296296296266526E-5</v>
      </c>
      <c r="M1022" s="4">
        <f>F1022/I1022</f>
        <v>0.13582342954159593</v>
      </c>
      <c r="N1022" s="4">
        <f>I1022/J1022</f>
        <v>0.99984567901234578</v>
      </c>
    </row>
    <row r="1023" spans="1:14" x14ac:dyDescent="0.3">
      <c r="A1023" s="29">
        <v>46105</v>
      </c>
      <c r="B1023" s="8">
        <f>YEAR(A1023)</f>
        <v>2026</v>
      </c>
      <c r="C1023" s="27" t="str">
        <f>TEXT(A1023,"MMMM")</f>
        <v>março</v>
      </c>
      <c r="D1023" s="30" t="s">
        <v>77</v>
      </c>
      <c r="E1023" s="30" t="s">
        <v>34</v>
      </c>
      <c r="F1023" s="31">
        <v>4.3495370370370372E-2</v>
      </c>
      <c r="G1023" s="31">
        <v>0.44988425925925923</v>
      </c>
      <c r="H1023" s="31">
        <v>0.75028935185185186</v>
      </c>
      <c r="I1023" s="43">
        <f>H1023-G1023</f>
        <v>0.30040509259259263</v>
      </c>
      <c r="J1023" s="43">
        <v>0.3</v>
      </c>
      <c r="K1023" s="2">
        <f>I1023-J1023</f>
        <v>4.0509259259263741E-4</v>
      </c>
      <c r="L1023" s="3"/>
      <c r="M1023" s="4">
        <f>F1023/I1023</f>
        <v>0.14478905798497399</v>
      </c>
      <c r="N1023" s="4">
        <f>I1023/J1023</f>
        <v>1.0013503086419755</v>
      </c>
    </row>
    <row r="1024" spans="1:14" x14ac:dyDescent="0.3">
      <c r="A1024" s="29">
        <v>46105</v>
      </c>
      <c r="B1024" s="8">
        <f>YEAR(A1024)</f>
        <v>2026</v>
      </c>
      <c r="C1024" s="27" t="str">
        <f>TEXT(A1024,"MMMM")</f>
        <v>março</v>
      </c>
      <c r="D1024" s="30" t="s">
        <v>25</v>
      </c>
      <c r="E1024" s="30" t="s">
        <v>21</v>
      </c>
      <c r="F1024" s="31">
        <v>5.9768518518518519E-2</v>
      </c>
      <c r="G1024" s="31">
        <v>0.33288194444444447</v>
      </c>
      <c r="H1024" s="31">
        <v>0.67501157407407408</v>
      </c>
      <c r="I1024" s="43">
        <f>H1024-G1024</f>
        <v>0.34212962962962962</v>
      </c>
      <c r="J1024" s="43">
        <v>0.3</v>
      </c>
      <c r="K1024" s="2">
        <f>I1024-J1024</f>
        <v>4.2129629629629628E-2</v>
      </c>
      <c r="L1024" s="3"/>
      <c r="M1024" s="4">
        <f>F1024/I1024</f>
        <v>0.17469553450608932</v>
      </c>
      <c r="N1024" s="4">
        <f>I1024/J1024</f>
        <v>1.1404320987654322</v>
      </c>
    </row>
    <row r="1025" spans="1:14" x14ac:dyDescent="0.3">
      <c r="A1025" s="29">
        <v>46105</v>
      </c>
      <c r="B1025" s="8">
        <f>YEAR(A1025)</f>
        <v>2026</v>
      </c>
      <c r="C1025" s="27" t="str">
        <f>TEXT(A1025,"MMMM")</f>
        <v>março</v>
      </c>
      <c r="D1025" s="30" t="s">
        <v>26</v>
      </c>
      <c r="E1025" s="30" t="s">
        <v>15</v>
      </c>
      <c r="F1025" s="31">
        <v>4.3263888888888886E-2</v>
      </c>
      <c r="G1025" s="31">
        <v>0.33486111111111111</v>
      </c>
      <c r="H1025" s="31">
        <v>0.63753472222222218</v>
      </c>
      <c r="I1025" s="43">
        <f>H1025-G1025</f>
        <v>0.30267361111111107</v>
      </c>
      <c r="J1025" s="43">
        <v>0.3</v>
      </c>
      <c r="K1025" s="2">
        <f>I1025-J1025</f>
        <v>2.673611111111085E-3</v>
      </c>
      <c r="L1025" s="3"/>
      <c r="M1025" s="4">
        <f>F1025/I1025</f>
        <v>0.14293908454743606</v>
      </c>
      <c r="N1025" s="4">
        <f>I1025/J1025</f>
        <v>1.008912037037037</v>
      </c>
    </row>
    <row r="1026" spans="1:14" x14ac:dyDescent="0.3">
      <c r="A1026" s="29">
        <v>46105</v>
      </c>
      <c r="B1026" s="8">
        <f>YEAR(A1026)</f>
        <v>2026</v>
      </c>
      <c r="C1026" s="27" t="str">
        <f>TEXT(A1026,"MMMM")</f>
        <v>março</v>
      </c>
      <c r="D1026" s="30" t="s">
        <v>68</v>
      </c>
      <c r="E1026" s="30" t="s">
        <v>34</v>
      </c>
      <c r="F1026" s="31">
        <v>4.597222222222222E-2</v>
      </c>
      <c r="G1026" s="31">
        <v>0.45245370370370369</v>
      </c>
      <c r="H1026" s="31">
        <v>0.75050925925925926</v>
      </c>
      <c r="I1026" s="43">
        <f>H1026-G1026</f>
        <v>0.29805555555555557</v>
      </c>
      <c r="J1026" s="43">
        <v>0.3</v>
      </c>
      <c r="K1026" s="2"/>
      <c r="L1026" s="3">
        <f>J1026-I1026</f>
        <v>1.9444444444444153E-3</v>
      </c>
      <c r="M1026" s="4">
        <f>F1026/I1026</f>
        <v>0.15424044734389561</v>
      </c>
      <c r="N1026" s="4">
        <f>I1026/J1026</f>
        <v>0.99351851851851858</v>
      </c>
    </row>
    <row r="1027" spans="1:14" x14ac:dyDescent="0.3">
      <c r="A1027" s="29">
        <v>46105</v>
      </c>
      <c r="B1027" s="8">
        <f>YEAR(A1027)</f>
        <v>2026</v>
      </c>
      <c r="C1027" s="27" t="str">
        <f>TEXT(A1027,"MMMM")</f>
        <v>março</v>
      </c>
      <c r="D1027" s="30" t="s">
        <v>32</v>
      </c>
      <c r="E1027" s="30" t="s">
        <v>34</v>
      </c>
      <c r="F1027" s="31">
        <v>4.6134259259259257E-2</v>
      </c>
      <c r="G1027" s="31">
        <v>0.45349537037037035</v>
      </c>
      <c r="H1027" s="31">
        <v>0.75067129629629625</v>
      </c>
      <c r="I1027" s="43">
        <f>H1027-G1027</f>
        <v>0.2971759259259259</v>
      </c>
      <c r="J1027" s="43">
        <v>0.3</v>
      </c>
      <c r="K1027" s="2"/>
      <c r="L1027" s="3">
        <f>J1027-I1027</f>
        <v>2.8240740740740899E-3</v>
      </c>
      <c r="M1027" s="4">
        <f>F1027/I1027</f>
        <v>0.15524224957158436</v>
      </c>
      <c r="N1027" s="4">
        <f>I1027/J1027</f>
        <v>0.99058641975308637</v>
      </c>
    </row>
    <row r="1028" spans="1:14" x14ac:dyDescent="0.3">
      <c r="A1028" s="29">
        <v>46105</v>
      </c>
      <c r="B1028" s="8">
        <f>YEAR(A1028)</f>
        <v>2026</v>
      </c>
      <c r="C1028" s="27" t="str">
        <f>TEXT(A1028,"MMMM")</f>
        <v>março</v>
      </c>
      <c r="D1028" s="30" t="s">
        <v>29</v>
      </c>
      <c r="E1028" s="30" t="s">
        <v>34</v>
      </c>
      <c r="F1028" s="31">
        <v>6.1678240740740742E-2</v>
      </c>
      <c r="G1028" s="31">
        <v>0.3364699074074074</v>
      </c>
      <c r="H1028" s="31">
        <v>0.6334953703703704</v>
      </c>
      <c r="I1028" s="43">
        <f>H1028-G1028</f>
        <v>0.297025462962963</v>
      </c>
      <c r="J1028" s="43">
        <v>0.3</v>
      </c>
      <c r="K1028" s="2"/>
      <c r="L1028" s="3">
        <f>J1028-I1028</f>
        <v>2.9745370370369839E-3</v>
      </c>
      <c r="M1028" s="4">
        <f>F1028/I1028</f>
        <v>0.20765304134356855</v>
      </c>
      <c r="N1028" s="4">
        <f>I1028/J1028</f>
        <v>0.99008487654321009</v>
      </c>
    </row>
    <row r="1029" spans="1:14" x14ac:dyDescent="0.3">
      <c r="A1029" s="29">
        <v>46107</v>
      </c>
      <c r="B1029" s="8">
        <f>YEAR(A1029)</f>
        <v>2026</v>
      </c>
      <c r="C1029" s="27" t="str">
        <f>TEXT(A1029,"MMMM")</f>
        <v>março</v>
      </c>
      <c r="D1029" s="30" t="s">
        <v>16</v>
      </c>
      <c r="E1029" s="30" t="s">
        <v>34</v>
      </c>
      <c r="F1029" s="31">
        <v>4.1655092592592591E-2</v>
      </c>
      <c r="G1029" s="31">
        <v>0.33659722222222221</v>
      </c>
      <c r="H1029" s="31">
        <v>0.63462962962962965</v>
      </c>
      <c r="I1029" s="43">
        <f>H1029-G1029</f>
        <v>0.29803240740740744</v>
      </c>
      <c r="J1029" s="43">
        <v>0.3</v>
      </c>
      <c r="K1029" s="2"/>
      <c r="L1029" s="3">
        <f>J1029-I1029</f>
        <v>1.9675925925925486E-3</v>
      </c>
      <c r="M1029" s="4">
        <f>F1029/I1029</f>
        <v>0.13976699029126211</v>
      </c>
      <c r="N1029" s="4">
        <f>I1029/J1029</f>
        <v>0.99344135802469147</v>
      </c>
    </row>
    <row r="1030" spans="1:14" x14ac:dyDescent="0.3">
      <c r="A1030" s="29">
        <v>46107</v>
      </c>
      <c r="B1030" s="8">
        <f>YEAR(A1030)</f>
        <v>2026</v>
      </c>
      <c r="C1030" s="27" t="str">
        <f>TEXT(A1030,"MMMM")</f>
        <v>março</v>
      </c>
      <c r="D1030" s="30" t="s">
        <v>47</v>
      </c>
      <c r="E1030" s="30" t="s">
        <v>34</v>
      </c>
      <c r="F1030" s="31">
        <v>5.0740740740740739E-2</v>
      </c>
      <c r="G1030" s="31">
        <v>0.52364583333333337</v>
      </c>
      <c r="H1030" s="31">
        <v>0.75037037037037035</v>
      </c>
      <c r="I1030" s="43">
        <f>H1030-G1030</f>
        <v>0.22672453703703699</v>
      </c>
      <c r="J1030" s="43">
        <v>0.25</v>
      </c>
      <c r="K1030" s="2"/>
      <c r="L1030" s="3">
        <f>J1030-I1030</f>
        <v>2.3275462962963012E-2</v>
      </c>
      <c r="M1030" s="4">
        <f>F1030/I1030</f>
        <v>0.22379907090714179</v>
      </c>
      <c r="N1030" s="4">
        <f>I1030/J1030</f>
        <v>0.90689814814814795</v>
      </c>
    </row>
    <row r="1031" spans="1:14" x14ac:dyDescent="0.3">
      <c r="A1031" s="29">
        <v>46107</v>
      </c>
      <c r="B1031" s="8">
        <f>YEAR(A1031)</f>
        <v>2026</v>
      </c>
      <c r="C1031" s="27" t="str">
        <f>TEXT(A1031,"MMMM")</f>
        <v>março</v>
      </c>
      <c r="D1031" s="30" t="s">
        <v>18</v>
      </c>
      <c r="E1031" s="30" t="s">
        <v>34</v>
      </c>
      <c r="F1031" s="31">
        <v>3.2453703703703707E-2</v>
      </c>
      <c r="G1031" s="31">
        <v>0.51841435185185181</v>
      </c>
      <c r="H1031" s="31">
        <v>0.75084490740740739</v>
      </c>
      <c r="I1031" s="43">
        <f>H1031-G1031</f>
        <v>0.23243055555555558</v>
      </c>
      <c r="J1031" s="43">
        <v>0.3</v>
      </c>
      <c r="K1031" s="2"/>
      <c r="L1031" s="3">
        <f>J1031-I1031</f>
        <v>6.7569444444444404E-2</v>
      </c>
      <c r="M1031" s="4">
        <f>F1031/I1031</f>
        <v>0.13962752713873119</v>
      </c>
      <c r="N1031" s="4">
        <f>I1031/J1031</f>
        <v>0.77476851851851869</v>
      </c>
    </row>
    <row r="1032" spans="1:14" x14ac:dyDescent="0.3">
      <c r="A1032" s="29">
        <v>46107</v>
      </c>
      <c r="B1032" s="8">
        <f>YEAR(A1032)</f>
        <v>2026</v>
      </c>
      <c r="C1032" s="27" t="str">
        <f>TEXT(A1032,"MMMM")</f>
        <v>março</v>
      </c>
      <c r="D1032" s="30" t="s">
        <v>19</v>
      </c>
      <c r="E1032" s="30" t="s">
        <v>34</v>
      </c>
      <c r="F1032" s="31">
        <v>3.9490740740740743E-2</v>
      </c>
      <c r="G1032" s="31">
        <v>0.35187499999999999</v>
      </c>
      <c r="H1032" s="31">
        <v>0.63359953703703709</v>
      </c>
      <c r="I1032" s="43">
        <f>H1032-G1032</f>
        <v>0.28172453703703709</v>
      </c>
      <c r="J1032" s="43">
        <v>0.3</v>
      </c>
      <c r="K1032" s="2"/>
      <c r="L1032" s="3">
        <f>J1032-I1032</f>
        <v>1.8275462962962896E-2</v>
      </c>
      <c r="M1032" s="4">
        <f>F1032/I1032</f>
        <v>0.14017501335195759</v>
      </c>
      <c r="N1032" s="4">
        <f>I1032/J1032</f>
        <v>0.93908179012345705</v>
      </c>
    </row>
    <row r="1033" spans="1:14" x14ac:dyDescent="0.3">
      <c r="A1033" s="29">
        <v>46107</v>
      </c>
      <c r="B1033" s="8">
        <f>YEAR(A1033)</f>
        <v>2026</v>
      </c>
      <c r="C1033" s="27" t="str">
        <f>TEXT(A1033,"MMMM")</f>
        <v>março</v>
      </c>
      <c r="D1033" s="30" t="s">
        <v>69</v>
      </c>
      <c r="E1033" s="30" t="s">
        <v>34</v>
      </c>
      <c r="F1033" s="31">
        <v>4.4502314814814814E-2</v>
      </c>
      <c r="G1033" s="31">
        <v>0.35337962962962965</v>
      </c>
      <c r="H1033" s="31">
        <v>0.6518518518518519</v>
      </c>
      <c r="I1033" s="43">
        <f>H1033-G1033</f>
        <v>0.29847222222222225</v>
      </c>
      <c r="J1033" s="43">
        <v>0.3</v>
      </c>
      <c r="K1033" s="2"/>
      <c r="L1033" s="3">
        <f>J1033-I1033</f>
        <v>1.527777777777739E-3</v>
      </c>
      <c r="M1033" s="4">
        <f>F1033/I1033</f>
        <v>0.14910035675507988</v>
      </c>
      <c r="N1033" s="4">
        <f>I1033/J1033</f>
        <v>0.99490740740740757</v>
      </c>
    </row>
    <row r="1034" spans="1:14" x14ac:dyDescent="0.3">
      <c r="A1034" s="29">
        <v>46107</v>
      </c>
      <c r="B1034" s="8">
        <f>YEAR(A1034)</f>
        <v>2026</v>
      </c>
      <c r="C1034" s="27" t="str">
        <f>TEXT(A1034,"MMMM")</f>
        <v>março</v>
      </c>
      <c r="D1034" s="30" t="s">
        <v>22</v>
      </c>
      <c r="E1034" s="30" t="s">
        <v>21</v>
      </c>
      <c r="F1034" s="31">
        <v>3.7777777777777778E-2</v>
      </c>
      <c r="G1034" s="31">
        <v>0.41064814814814815</v>
      </c>
      <c r="H1034" s="31">
        <v>0.75054398148148149</v>
      </c>
      <c r="I1034" s="43">
        <f>H1034-G1034</f>
        <v>0.33989583333333334</v>
      </c>
      <c r="J1034" s="43">
        <v>0.3</v>
      </c>
      <c r="K1034" s="2">
        <f>I1034-J1034</f>
        <v>3.9895833333333353E-2</v>
      </c>
      <c r="L1034" s="3"/>
      <c r="M1034" s="4">
        <f>F1034/I1034</f>
        <v>0.11114516293799162</v>
      </c>
      <c r="N1034" s="4">
        <f>I1034/J1034</f>
        <v>1.1329861111111112</v>
      </c>
    </row>
    <row r="1035" spans="1:14" x14ac:dyDescent="0.3">
      <c r="A1035" s="29">
        <v>46107</v>
      </c>
      <c r="B1035" s="8">
        <f>YEAR(A1035)</f>
        <v>2026</v>
      </c>
      <c r="C1035" s="27" t="str">
        <f>TEXT(A1035,"MMMM")</f>
        <v>março</v>
      </c>
      <c r="D1035" s="30" t="s">
        <v>33</v>
      </c>
      <c r="E1035" s="30" t="s">
        <v>34</v>
      </c>
      <c r="F1035" s="31">
        <v>3.5069444444444445E-2</v>
      </c>
      <c r="G1035" s="31">
        <v>0.33333333333333331</v>
      </c>
      <c r="H1035" s="31">
        <v>0.66756944444444444</v>
      </c>
      <c r="I1035" s="43">
        <f>H1035-G1035</f>
        <v>0.33423611111111112</v>
      </c>
      <c r="J1035" s="43">
        <v>0.3</v>
      </c>
      <c r="K1035" s="2">
        <f>I1035-J1035</f>
        <v>3.4236111111111134E-2</v>
      </c>
      <c r="L1035" s="3"/>
      <c r="M1035" s="4">
        <f>F1035/I1035</f>
        <v>0.10492416372324953</v>
      </c>
      <c r="N1035" s="4">
        <f>I1035/J1035</f>
        <v>1.1141203703703704</v>
      </c>
    </row>
    <row r="1036" spans="1:14" x14ac:dyDescent="0.3">
      <c r="A1036" s="29">
        <v>46107</v>
      </c>
      <c r="B1036" s="8">
        <f>YEAR(A1036)</f>
        <v>2026</v>
      </c>
      <c r="C1036" s="27" t="str">
        <f>TEXT(A1036,"MMMM")</f>
        <v>março</v>
      </c>
      <c r="D1036" s="30" t="s">
        <v>76</v>
      </c>
      <c r="E1036" s="30" t="s">
        <v>21</v>
      </c>
      <c r="F1036" s="31">
        <v>4.6747685185185184E-2</v>
      </c>
      <c r="G1036" s="31">
        <v>0.45076388888888891</v>
      </c>
      <c r="H1036" s="31">
        <v>0.75387731481481479</v>
      </c>
      <c r="I1036" s="43">
        <f>H1036-G1036</f>
        <v>0.30311342592592588</v>
      </c>
      <c r="J1036" s="43">
        <v>0.3</v>
      </c>
      <c r="K1036" s="2">
        <f>I1036-J1036</f>
        <v>3.1134259259258945E-3</v>
      </c>
      <c r="L1036" s="3"/>
      <c r="M1036" s="4">
        <f>F1036/I1036</f>
        <v>0.1542250563213563</v>
      </c>
      <c r="N1036" s="4">
        <f>I1036/J1036</f>
        <v>1.0103780864197529</v>
      </c>
    </row>
    <row r="1037" spans="1:14" x14ac:dyDescent="0.3">
      <c r="A1037" s="29">
        <v>46107</v>
      </c>
      <c r="B1037" s="8">
        <f>YEAR(A1037)</f>
        <v>2026</v>
      </c>
      <c r="C1037" s="27" t="str">
        <f>TEXT(A1037,"MMMM")</f>
        <v>março</v>
      </c>
      <c r="D1037" s="30" t="s">
        <v>77</v>
      </c>
      <c r="E1037" s="30" t="s">
        <v>34</v>
      </c>
      <c r="F1037" s="31">
        <v>3.6134259259259262E-2</v>
      </c>
      <c r="G1037" s="31">
        <v>0.45114583333333336</v>
      </c>
      <c r="H1037" s="31">
        <v>0.7506018518518518</v>
      </c>
      <c r="I1037" s="43">
        <f>H1037-G1037</f>
        <v>0.29945601851851844</v>
      </c>
      <c r="J1037" s="43">
        <v>0.3</v>
      </c>
      <c r="K1037" s="2"/>
      <c r="L1037" s="3">
        <f>J1037-I1037</f>
        <v>5.4398148148154801E-4</v>
      </c>
      <c r="M1037" s="4">
        <f>F1037/I1037</f>
        <v>0.12066633169713605</v>
      </c>
      <c r="N1037" s="4">
        <f>I1037/J1037</f>
        <v>0.99818672839506151</v>
      </c>
    </row>
    <row r="1038" spans="1:14" x14ac:dyDescent="0.3">
      <c r="A1038" s="29">
        <v>46107</v>
      </c>
      <c r="B1038" s="8">
        <f>YEAR(A1038)</f>
        <v>2026</v>
      </c>
      <c r="C1038" s="27" t="str">
        <f>TEXT(A1038,"MMMM")</f>
        <v>março</v>
      </c>
      <c r="D1038" s="30" t="s">
        <v>25</v>
      </c>
      <c r="E1038" s="30" t="s">
        <v>21</v>
      </c>
      <c r="F1038" s="31">
        <v>6.6006944444444438E-2</v>
      </c>
      <c r="G1038" s="31">
        <v>0.33482638888888888</v>
      </c>
      <c r="H1038" s="31">
        <v>0.65501157407407407</v>
      </c>
      <c r="I1038" s="43">
        <f>H1038-G1038</f>
        <v>0.32018518518518518</v>
      </c>
      <c r="J1038" s="43">
        <v>0.3</v>
      </c>
      <c r="K1038" s="2">
        <f>I1038-J1038</f>
        <v>2.0185185185185195E-2</v>
      </c>
      <c r="L1038" s="3"/>
      <c r="M1038" s="4">
        <f>F1038/I1038</f>
        <v>0.20615240023134757</v>
      </c>
      <c r="N1038" s="4">
        <f>I1038/J1038</f>
        <v>1.067283950617284</v>
      </c>
    </row>
    <row r="1039" spans="1:14" x14ac:dyDescent="0.3">
      <c r="A1039" s="29">
        <v>46107</v>
      </c>
      <c r="B1039" s="8">
        <f>YEAR(A1039)</f>
        <v>2026</v>
      </c>
      <c r="C1039" s="27" t="str">
        <f>TEXT(A1039,"MMMM")</f>
        <v>março</v>
      </c>
      <c r="D1039" s="30" t="s">
        <v>26</v>
      </c>
      <c r="E1039" s="30" t="s">
        <v>15</v>
      </c>
      <c r="F1039" s="31">
        <v>3.5578703703703703E-2</v>
      </c>
      <c r="G1039" s="31">
        <v>0.33340277777777777</v>
      </c>
      <c r="H1039" s="31">
        <v>0.63543981481481482</v>
      </c>
      <c r="I1039" s="43">
        <f>H1039-G1039</f>
        <v>0.30203703703703705</v>
      </c>
      <c r="J1039" s="43">
        <v>0.3</v>
      </c>
      <c r="K1039" s="2">
        <f>I1039-J1039</f>
        <v>2.0370370370370594E-3</v>
      </c>
      <c r="L1039" s="3"/>
      <c r="M1039" s="4">
        <f>F1039/I1039</f>
        <v>0.11779583077866339</v>
      </c>
      <c r="N1039" s="4">
        <f>I1039/J1039</f>
        <v>1.0067901234567902</v>
      </c>
    </row>
    <row r="1040" spans="1:14" x14ac:dyDescent="0.3">
      <c r="A1040" s="29">
        <v>46107</v>
      </c>
      <c r="B1040" s="8">
        <f>YEAR(A1040)</f>
        <v>2026</v>
      </c>
      <c r="C1040" s="27" t="str">
        <f>TEXT(A1040,"MMMM")</f>
        <v>março</v>
      </c>
      <c r="D1040" s="30" t="s">
        <v>68</v>
      </c>
      <c r="E1040" s="30" t="s">
        <v>34</v>
      </c>
      <c r="F1040" s="31">
        <v>5.5243055555555552E-2</v>
      </c>
      <c r="G1040" s="31">
        <v>0.43962962962962965</v>
      </c>
      <c r="H1040" s="31">
        <v>0.75048611111111108</v>
      </c>
      <c r="I1040" s="43">
        <f>H1040-G1040</f>
        <v>0.31085648148148143</v>
      </c>
      <c r="J1040" s="43">
        <v>0.3</v>
      </c>
      <c r="K1040" s="2">
        <f>I1040-J1040</f>
        <v>1.0856481481481439E-2</v>
      </c>
      <c r="L1040" s="3"/>
      <c r="M1040" s="4">
        <f>F1040/I1040</f>
        <v>0.17771241343361385</v>
      </c>
      <c r="N1040" s="4">
        <f>I1040/J1040</f>
        <v>1.0361882716049382</v>
      </c>
    </row>
    <row r="1041" spans="1:14" x14ac:dyDescent="0.3">
      <c r="A1041" s="29">
        <v>46107</v>
      </c>
      <c r="B1041" s="8">
        <f>YEAR(A1041)</f>
        <v>2026</v>
      </c>
      <c r="C1041" s="27" t="str">
        <f>TEXT(A1041,"MMMM")</f>
        <v>março</v>
      </c>
      <c r="D1041" s="30" t="s">
        <v>32</v>
      </c>
      <c r="E1041" s="30" t="s">
        <v>34</v>
      </c>
      <c r="F1041" s="31">
        <v>4.1238425925925928E-2</v>
      </c>
      <c r="G1041" s="31">
        <v>0.48526620370370371</v>
      </c>
      <c r="H1041" s="31">
        <v>0.7503009259259259</v>
      </c>
      <c r="I1041" s="43">
        <f>H1041-G1041</f>
        <v>0.26503472222222219</v>
      </c>
      <c r="J1041" s="43">
        <v>0.3</v>
      </c>
      <c r="K1041" s="2"/>
      <c r="L1041" s="3">
        <f>J1041-I1041</f>
        <v>3.4965277777777803E-2</v>
      </c>
      <c r="M1041" s="4">
        <f>F1041/I1041</f>
        <v>0.15559631424953058</v>
      </c>
      <c r="N1041" s="4">
        <f>I1041/J1041</f>
        <v>0.88344907407407403</v>
      </c>
    </row>
    <row r="1042" spans="1:14" x14ac:dyDescent="0.3">
      <c r="A1042" s="29">
        <v>46107</v>
      </c>
      <c r="B1042" s="8">
        <f>YEAR(A1042)</f>
        <v>2026</v>
      </c>
      <c r="C1042" s="27" t="str">
        <f>TEXT(A1042,"MMMM")</f>
        <v>março</v>
      </c>
      <c r="D1042" s="30" t="s">
        <v>29</v>
      </c>
      <c r="E1042" s="30" t="s">
        <v>34</v>
      </c>
      <c r="F1042" s="31">
        <v>5.0555555555555555E-2</v>
      </c>
      <c r="G1042" s="31">
        <v>0.33238425925925924</v>
      </c>
      <c r="H1042" s="31">
        <v>0.63380787037037034</v>
      </c>
      <c r="I1042" s="43">
        <f>H1042-G1042</f>
        <v>0.3014236111111111</v>
      </c>
      <c r="J1042" s="43">
        <v>0.3</v>
      </c>
      <c r="K1042" s="2">
        <f>I1042-J1042</f>
        <v>1.4236111111111116E-3</v>
      </c>
      <c r="L1042" s="3"/>
      <c r="M1042" s="4">
        <f>F1042/I1042</f>
        <v>0.16772261260223478</v>
      </c>
      <c r="N1042" s="4">
        <f>I1042/J1042</f>
        <v>1.0047453703703704</v>
      </c>
    </row>
    <row r="1043" spans="1:14" x14ac:dyDescent="0.3">
      <c r="A1043" s="29">
        <v>46108</v>
      </c>
      <c r="B1043" s="8">
        <f>YEAR(A1043)</f>
        <v>2026</v>
      </c>
      <c r="C1043" s="27" t="str">
        <f>TEXT(A1043,"MMMM")</f>
        <v>março</v>
      </c>
      <c r="D1043" s="30" t="s">
        <v>16</v>
      </c>
      <c r="E1043" s="30" t="s">
        <v>34</v>
      </c>
      <c r="F1043" s="31">
        <v>4.2789351851851849E-2</v>
      </c>
      <c r="G1043" s="31">
        <v>0.3338888888888889</v>
      </c>
      <c r="H1043" s="31">
        <v>0.70064814814814813</v>
      </c>
      <c r="I1043" s="43">
        <f>H1043-G1043</f>
        <v>0.36675925925925923</v>
      </c>
      <c r="J1043" s="43">
        <v>0.3</v>
      </c>
      <c r="K1043" s="2">
        <f>I1043-J1043</f>
        <v>6.675925925925924E-2</v>
      </c>
      <c r="L1043" s="3"/>
      <c r="M1043" s="4">
        <f>F1043/I1043</f>
        <v>0.11666877051249684</v>
      </c>
      <c r="N1043" s="4">
        <f>I1043/J1043</f>
        <v>1.2225308641975308</v>
      </c>
    </row>
    <row r="1044" spans="1:14" x14ac:dyDescent="0.3">
      <c r="A1044" s="29">
        <v>46108</v>
      </c>
      <c r="B1044" s="8">
        <f>YEAR(A1044)</f>
        <v>2026</v>
      </c>
      <c r="C1044" s="27" t="str">
        <f>TEXT(A1044,"MMMM")</f>
        <v>março</v>
      </c>
      <c r="D1044" s="30" t="s">
        <v>18</v>
      </c>
      <c r="E1044" s="30" t="s">
        <v>34</v>
      </c>
      <c r="F1044" s="31">
        <v>4.2372685185185187E-2</v>
      </c>
      <c r="G1044" s="31">
        <v>0.34638888888888891</v>
      </c>
      <c r="H1044" s="31">
        <v>0.69571759259259258</v>
      </c>
      <c r="I1044" s="43">
        <f>H1044-G1044</f>
        <v>0.34932870370370367</v>
      </c>
      <c r="J1044" s="43">
        <v>0.3</v>
      </c>
      <c r="K1044" s="2">
        <f>I1044-J1044</f>
        <v>4.932870370370368E-2</v>
      </c>
      <c r="L1044" s="3"/>
      <c r="M1044" s="4">
        <f>F1044/I1044</f>
        <v>0.12129746206348156</v>
      </c>
      <c r="N1044" s="4">
        <f>I1044/J1044</f>
        <v>1.1644290123456789</v>
      </c>
    </row>
    <row r="1045" spans="1:14" x14ac:dyDescent="0.3">
      <c r="A1045" s="29">
        <v>46108</v>
      </c>
      <c r="B1045" s="8">
        <f>YEAR(A1045)</f>
        <v>2026</v>
      </c>
      <c r="C1045" s="27" t="str">
        <f>TEXT(A1045,"MMMM")</f>
        <v>março</v>
      </c>
      <c r="D1045" s="30" t="s">
        <v>19</v>
      </c>
      <c r="E1045" s="30" t="s">
        <v>34</v>
      </c>
      <c r="F1045" s="31">
        <v>5.4386574074074073E-2</v>
      </c>
      <c r="G1045" s="31">
        <v>0.33574074074074073</v>
      </c>
      <c r="H1045" s="31">
        <v>0.67562500000000003</v>
      </c>
      <c r="I1045" s="43">
        <f>H1045-G1045</f>
        <v>0.3398842592592593</v>
      </c>
      <c r="J1045" s="43">
        <v>0.3</v>
      </c>
      <c r="K1045" s="2">
        <f>I1045-J1045</f>
        <v>3.9884259259259314E-2</v>
      </c>
      <c r="L1045" s="3"/>
      <c r="M1045" s="4">
        <f>F1045/I1045</f>
        <v>0.16001498331403663</v>
      </c>
      <c r="N1045" s="4">
        <f>I1045/J1045</f>
        <v>1.1329475308641976</v>
      </c>
    </row>
    <row r="1046" spans="1:14" x14ac:dyDescent="0.3">
      <c r="A1046" s="29">
        <v>46108</v>
      </c>
      <c r="B1046" s="8">
        <f>YEAR(A1046)</f>
        <v>2026</v>
      </c>
      <c r="C1046" s="27" t="str">
        <f>TEXT(A1046,"MMMM")</f>
        <v>março</v>
      </c>
      <c r="D1046" s="30" t="s">
        <v>69</v>
      </c>
      <c r="E1046" s="30" t="s">
        <v>34</v>
      </c>
      <c r="F1046" s="31">
        <v>5.3703703703703705E-2</v>
      </c>
      <c r="G1046" s="31">
        <v>0.44907407407407407</v>
      </c>
      <c r="H1046" s="31">
        <v>0.70885416666666667</v>
      </c>
      <c r="I1046" s="43">
        <f>H1046-G1046</f>
        <v>0.2597800925925926</v>
      </c>
      <c r="J1046" s="43">
        <v>0.3</v>
      </c>
      <c r="K1046" s="2"/>
      <c r="L1046" s="3">
        <f>J1046-I1046</f>
        <v>4.0219907407407385E-2</v>
      </c>
      <c r="M1046" s="4">
        <f>F1046/I1046</f>
        <v>0.2067275562486077</v>
      </c>
      <c r="N1046" s="4">
        <f>I1046/J1046</f>
        <v>0.86593364197530875</v>
      </c>
    </row>
    <row r="1047" spans="1:14" x14ac:dyDescent="0.3">
      <c r="A1047" s="29">
        <v>46108</v>
      </c>
      <c r="B1047" s="8">
        <f>YEAR(A1047)</f>
        <v>2026</v>
      </c>
      <c r="C1047" s="27" t="str">
        <f>TEXT(A1047,"MMMM")</f>
        <v>março</v>
      </c>
      <c r="D1047" s="30" t="s">
        <v>22</v>
      </c>
      <c r="E1047" s="30" t="s">
        <v>21</v>
      </c>
      <c r="F1047" s="31">
        <v>2.6365740740740742E-2</v>
      </c>
      <c r="G1047" s="31">
        <v>0.44231481481481483</v>
      </c>
      <c r="H1047" s="31">
        <v>0.75126157407407412</v>
      </c>
      <c r="I1047" s="43">
        <f>H1047-G1047</f>
        <v>0.3089467592592593</v>
      </c>
      <c r="J1047" s="43">
        <v>0.3</v>
      </c>
      <c r="K1047" s="2">
        <f>I1047-J1047</f>
        <v>8.946759259259307E-3</v>
      </c>
      <c r="L1047" s="3"/>
      <c r="M1047" s="4">
        <f>F1047/I1047</f>
        <v>8.5340726033042366E-2</v>
      </c>
      <c r="N1047" s="4">
        <f>I1047/J1047</f>
        <v>1.0298225308641977</v>
      </c>
    </row>
    <row r="1048" spans="1:14" x14ac:dyDescent="0.3">
      <c r="A1048" s="29">
        <v>46108</v>
      </c>
      <c r="B1048" s="8">
        <f>YEAR(A1048)</f>
        <v>2026</v>
      </c>
      <c r="C1048" s="27" t="str">
        <f>TEXT(A1048,"MMMM")</f>
        <v>março</v>
      </c>
      <c r="D1048" s="30" t="s">
        <v>33</v>
      </c>
      <c r="E1048" s="30" t="s">
        <v>34</v>
      </c>
      <c r="F1048" s="31">
        <v>2.3645833333333335E-2</v>
      </c>
      <c r="G1048" s="31">
        <v>0.33333333333333331</v>
      </c>
      <c r="H1048" s="31">
        <v>0.63410879629629635</v>
      </c>
      <c r="I1048" s="43">
        <f>H1048-G1048</f>
        <v>0.30077546296296304</v>
      </c>
      <c r="J1048" s="43">
        <v>0.3</v>
      </c>
      <c r="K1048" s="2">
        <f>I1048-J1048</f>
        <v>7.7546296296304718E-4</v>
      </c>
      <c r="L1048" s="3"/>
      <c r="M1048" s="4">
        <f>F1048/I1048</f>
        <v>7.8616231192519329E-2</v>
      </c>
      <c r="N1048" s="4">
        <f>I1048/J1048</f>
        <v>1.0025848765432102</v>
      </c>
    </row>
    <row r="1049" spans="1:14" x14ac:dyDescent="0.3">
      <c r="A1049" s="29">
        <v>46108</v>
      </c>
      <c r="B1049" s="8">
        <f>YEAR(A1049)</f>
        <v>2026</v>
      </c>
      <c r="C1049" s="27" t="str">
        <f>TEXT(A1049,"MMMM")</f>
        <v>março</v>
      </c>
      <c r="D1049" s="30" t="s">
        <v>76</v>
      </c>
      <c r="E1049" s="30" t="s">
        <v>21</v>
      </c>
      <c r="F1049" s="31">
        <v>5.8807870370370371E-2</v>
      </c>
      <c r="G1049" s="31">
        <v>0.37002314814814813</v>
      </c>
      <c r="H1049" s="31">
        <v>0.75071759259259263</v>
      </c>
      <c r="I1049" s="43">
        <f>H1049-G1049</f>
        <v>0.3806944444444445</v>
      </c>
      <c r="J1049" s="43">
        <v>0.3</v>
      </c>
      <c r="K1049" s="2">
        <f>I1049-J1049</f>
        <v>8.0694444444444513E-2</v>
      </c>
      <c r="L1049" s="3"/>
      <c r="M1049" s="4">
        <f>F1049/I1049</f>
        <v>0.15447525234099474</v>
      </c>
      <c r="N1049" s="4">
        <f>I1049/J1049</f>
        <v>1.2689814814814817</v>
      </c>
    </row>
    <row r="1050" spans="1:14" x14ac:dyDescent="0.3">
      <c r="A1050" s="29">
        <v>46108</v>
      </c>
      <c r="B1050" s="8">
        <f>YEAR(A1050)</f>
        <v>2026</v>
      </c>
      <c r="C1050" s="27" t="str">
        <f>TEXT(A1050,"MMMM")</f>
        <v>março</v>
      </c>
      <c r="D1050" s="30" t="s">
        <v>77</v>
      </c>
      <c r="E1050" s="30" t="s">
        <v>34</v>
      </c>
      <c r="F1050" s="31">
        <v>3.8541666666666669E-2</v>
      </c>
      <c r="G1050" s="31">
        <v>0.43119212962962961</v>
      </c>
      <c r="H1050" s="31">
        <v>0.75050925925925926</v>
      </c>
      <c r="I1050" s="43">
        <f>H1050-G1050</f>
        <v>0.31931712962962966</v>
      </c>
      <c r="J1050" s="43">
        <v>0.3</v>
      </c>
      <c r="K1050" s="2">
        <f>I1050-J1050</f>
        <v>1.931712962962967E-2</v>
      </c>
      <c r="L1050" s="3"/>
      <c r="M1050" s="4">
        <f>F1050/I1050</f>
        <v>0.12070027909674146</v>
      </c>
      <c r="N1050" s="4">
        <f>I1050/J1050</f>
        <v>1.0643904320987656</v>
      </c>
    </row>
    <row r="1051" spans="1:14" x14ac:dyDescent="0.3">
      <c r="A1051" s="29">
        <v>46108</v>
      </c>
      <c r="B1051" s="8">
        <f>YEAR(A1051)</f>
        <v>2026</v>
      </c>
      <c r="C1051" s="27" t="str">
        <f>TEXT(A1051,"MMMM")</f>
        <v>março</v>
      </c>
      <c r="D1051" s="30" t="s">
        <v>25</v>
      </c>
      <c r="E1051" s="30" t="s">
        <v>21</v>
      </c>
      <c r="F1051" s="31">
        <v>6.8923611111111116E-2</v>
      </c>
      <c r="G1051" s="31">
        <v>0.33266203703703706</v>
      </c>
      <c r="H1051" s="31">
        <v>0.65460648148148148</v>
      </c>
      <c r="I1051" s="43">
        <f>H1051-G1051</f>
        <v>0.32194444444444442</v>
      </c>
      <c r="J1051" s="43">
        <v>0.3</v>
      </c>
      <c r="K1051" s="2">
        <f>I1051-J1051</f>
        <v>2.1944444444444433E-2</v>
      </c>
      <c r="L1051" s="3"/>
      <c r="M1051" s="4">
        <f>F1051/I1051</f>
        <v>0.21408541846419329</v>
      </c>
      <c r="N1051" s="4">
        <f>I1051/J1051</f>
        <v>1.0731481481481482</v>
      </c>
    </row>
    <row r="1052" spans="1:14" x14ac:dyDescent="0.3">
      <c r="A1052" s="29">
        <v>46108</v>
      </c>
      <c r="B1052" s="8">
        <f>YEAR(A1052)</f>
        <v>2026</v>
      </c>
      <c r="C1052" s="27" t="str">
        <f>TEXT(A1052,"MMMM")</f>
        <v>março</v>
      </c>
      <c r="D1052" s="30" t="s">
        <v>26</v>
      </c>
      <c r="E1052" s="30" t="s">
        <v>15</v>
      </c>
      <c r="F1052" s="31">
        <v>4.252314814814815E-2</v>
      </c>
      <c r="G1052" s="31">
        <v>0.33953703703703703</v>
      </c>
      <c r="H1052" s="31">
        <v>0.63681712962962966</v>
      </c>
      <c r="I1052" s="43">
        <f>H1052-G1052</f>
        <v>0.29728009259259264</v>
      </c>
      <c r="J1052" s="43">
        <v>0.3</v>
      </c>
      <c r="K1052" s="2"/>
      <c r="L1052" s="3">
        <f>J1052-I1052</f>
        <v>2.7199074074073515E-3</v>
      </c>
      <c r="M1052" s="4">
        <f>F1052/I1052</f>
        <v>0.1430406852248394</v>
      </c>
      <c r="N1052" s="4">
        <f>I1052/J1052</f>
        <v>0.99093364197530887</v>
      </c>
    </row>
    <row r="1053" spans="1:14" x14ac:dyDescent="0.3">
      <c r="A1053" s="29">
        <v>46108</v>
      </c>
      <c r="B1053" s="8">
        <f>YEAR(A1053)</f>
        <v>2026</v>
      </c>
      <c r="C1053" s="27" t="str">
        <f>TEXT(A1053,"MMMM")</f>
        <v>março</v>
      </c>
      <c r="D1053" s="30" t="s">
        <v>68</v>
      </c>
      <c r="E1053" s="30" t="s">
        <v>34</v>
      </c>
      <c r="F1053" s="31">
        <v>5.6840277777777781E-2</v>
      </c>
      <c r="G1053" s="31">
        <v>0.44393518518518521</v>
      </c>
      <c r="H1053" s="31">
        <v>0.75033564814814813</v>
      </c>
      <c r="I1053" s="43">
        <f>H1053-G1053</f>
        <v>0.30640046296296292</v>
      </c>
      <c r="J1053" s="43">
        <v>0.3</v>
      </c>
      <c r="K1053" s="2">
        <f>I1053-J1053</f>
        <v>6.4004629629629273E-3</v>
      </c>
      <c r="L1053" s="3"/>
      <c r="M1053" s="4">
        <f>F1053/I1053</f>
        <v>0.18550976466588603</v>
      </c>
      <c r="N1053" s="4">
        <f>I1053/J1053</f>
        <v>1.0213348765432098</v>
      </c>
    </row>
    <row r="1054" spans="1:14" x14ac:dyDescent="0.3">
      <c r="A1054" s="29">
        <v>46108</v>
      </c>
      <c r="B1054" s="8">
        <f>YEAR(A1054)</f>
        <v>2026</v>
      </c>
      <c r="C1054" s="27" t="str">
        <f>TEXT(A1054,"MMMM")</f>
        <v>março</v>
      </c>
      <c r="D1054" s="30" t="s">
        <v>32</v>
      </c>
      <c r="E1054" s="30" t="s">
        <v>34</v>
      </c>
      <c r="F1054" s="31">
        <v>5.7453703703703701E-2</v>
      </c>
      <c r="G1054" s="31">
        <v>0.41627314814814814</v>
      </c>
      <c r="H1054" s="31">
        <v>0.75043981481481481</v>
      </c>
      <c r="I1054" s="43">
        <f>H1054-G1054</f>
        <v>0.33416666666666667</v>
      </c>
      <c r="J1054" s="43">
        <v>0.3</v>
      </c>
      <c r="K1054" s="2">
        <f>I1054-J1054</f>
        <v>3.4166666666666679E-2</v>
      </c>
      <c r="L1054" s="3"/>
      <c r="M1054" s="4">
        <f>F1054/I1054</f>
        <v>0.17193128290385148</v>
      </c>
      <c r="N1054" s="4">
        <f>I1054/J1054</f>
        <v>1.1138888888888889</v>
      </c>
    </row>
    <row r="1055" spans="1:14" x14ac:dyDescent="0.3">
      <c r="A1055" s="29">
        <v>46108</v>
      </c>
      <c r="B1055" s="8">
        <f>YEAR(A1055)</f>
        <v>2026</v>
      </c>
      <c r="C1055" s="27" t="str">
        <f>TEXT(A1055,"MMMM")</f>
        <v>março</v>
      </c>
      <c r="D1055" s="30" t="s">
        <v>29</v>
      </c>
      <c r="E1055" s="30" t="s">
        <v>34</v>
      </c>
      <c r="F1055" s="31">
        <v>5.9120370370370372E-2</v>
      </c>
      <c r="G1055" s="31">
        <v>0.3334259259259259</v>
      </c>
      <c r="H1055" s="31">
        <v>0.63506944444444446</v>
      </c>
      <c r="I1055" s="43">
        <f>H1055-G1055</f>
        <v>0.30164351851851856</v>
      </c>
      <c r="J1055" s="43">
        <v>0.3</v>
      </c>
      <c r="K1055" s="2">
        <f>I1055-J1055</f>
        <v>1.6435185185185719E-3</v>
      </c>
      <c r="L1055" s="3"/>
      <c r="M1055" s="4">
        <f>F1055/I1055</f>
        <v>0.19599416775381778</v>
      </c>
      <c r="N1055" s="4">
        <f>I1055/J1055</f>
        <v>1.0054783950617285</v>
      </c>
    </row>
    <row r="1056" spans="1:14" x14ac:dyDescent="0.3">
      <c r="A1056" s="29">
        <v>46111</v>
      </c>
      <c r="B1056" s="8">
        <f>YEAR(A1056)</f>
        <v>2026</v>
      </c>
      <c r="C1056" s="27" t="str">
        <f>TEXT(A1056,"MMMM")</f>
        <v>março</v>
      </c>
      <c r="D1056" s="30" t="s">
        <v>16</v>
      </c>
      <c r="E1056" s="30" t="s">
        <v>34</v>
      </c>
      <c r="F1056" s="31">
        <v>5.1331018518518519E-2</v>
      </c>
      <c r="G1056" s="31">
        <v>0.33374999999999999</v>
      </c>
      <c r="H1056" s="31">
        <v>0.63371527777777781</v>
      </c>
      <c r="I1056" s="43">
        <f>H1056-G1056</f>
        <v>0.29996527777777782</v>
      </c>
      <c r="J1056" s="43">
        <v>0.3</v>
      </c>
      <c r="K1056" s="2"/>
      <c r="L1056" s="3">
        <f>J1056-I1056</f>
        <v>3.4722222222172139E-5</v>
      </c>
      <c r="M1056" s="4">
        <f>F1056/I1056</f>
        <v>0.17112320098776862</v>
      </c>
      <c r="N1056" s="4">
        <f>I1056/J1056</f>
        <v>0.99988425925925939</v>
      </c>
    </row>
    <row r="1057" spans="1:14" x14ac:dyDescent="0.3">
      <c r="A1057" s="29">
        <v>46111</v>
      </c>
      <c r="B1057" s="8">
        <f>YEAR(A1057)</f>
        <v>2026</v>
      </c>
      <c r="C1057" s="27" t="str">
        <f>TEXT(A1057,"MMMM")</f>
        <v>março</v>
      </c>
      <c r="D1057" s="30" t="s">
        <v>47</v>
      </c>
      <c r="E1057" s="30" t="s">
        <v>34</v>
      </c>
      <c r="F1057" s="31">
        <v>5.2997685185185182E-2</v>
      </c>
      <c r="G1057" s="31">
        <v>0.50688657407407411</v>
      </c>
      <c r="H1057" s="31">
        <v>0.75116898148148148</v>
      </c>
      <c r="I1057" s="43">
        <f>H1057-G1057</f>
        <v>0.24428240740740736</v>
      </c>
      <c r="J1057" s="43">
        <v>0.25</v>
      </c>
      <c r="K1057" s="2"/>
      <c r="L1057" s="3">
        <f>J1057-I1057</f>
        <v>5.7175925925926352E-3</v>
      </c>
      <c r="M1057" s="4">
        <f>F1057/I1057</f>
        <v>0.21695252534824222</v>
      </c>
      <c r="N1057" s="4">
        <f>I1057/J1057</f>
        <v>0.97712962962962946</v>
      </c>
    </row>
    <row r="1058" spans="1:14" x14ac:dyDescent="0.3">
      <c r="A1058" s="29">
        <v>46111</v>
      </c>
      <c r="B1058" s="8">
        <f>YEAR(A1058)</f>
        <v>2026</v>
      </c>
      <c r="C1058" s="27" t="str">
        <f>TEXT(A1058,"MMMM")</f>
        <v>março</v>
      </c>
      <c r="D1058" s="30" t="s">
        <v>18</v>
      </c>
      <c r="E1058" s="30" t="s">
        <v>34</v>
      </c>
      <c r="F1058" s="31">
        <v>3.9537037037037037E-2</v>
      </c>
      <c r="G1058" s="31">
        <v>0.34584490740740742</v>
      </c>
      <c r="H1058" s="31">
        <v>0.68290509259259258</v>
      </c>
      <c r="I1058" s="43">
        <f>H1058-G1058</f>
        <v>0.33706018518518516</v>
      </c>
      <c r="J1058" s="43">
        <v>0.3</v>
      </c>
      <c r="K1058" s="2">
        <f>I1058-J1058</f>
        <v>3.7060185185185168E-2</v>
      </c>
      <c r="L1058" s="3"/>
      <c r="M1058" s="4">
        <f>F1058/I1058</f>
        <v>0.11729963601401004</v>
      </c>
      <c r="N1058" s="4">
        <f>I1058/J1058</f>
        <v>1.1235339506172839</v>
      </c>
    </row>
    <row r="1059" spans="1:14" x14ac:dyDescent="0.3">
      <c r="A1059" s="29">
        <v>46111</v>
      </c>
      <c r="B1059" s="8">
        <f>YEAR(A1059)</f>
        <v>2026</v>
      </c>
      <c r="C1059" s="27" t="str">
        <f>TEXT(A1059,"MMMM")</f>
        <v>março</v>
      </c>
      <c r="D1059" s="30" t="s">
        <v>19</v>
      </c>
      <c r="E1059" s="30" t="s">
        <v>34</v>
      </c>
      <c r="F1059" s="31">
        <v>4.3657407407407409E-2</v>
      </c>
      <c r="G1059" s="31">
        <v>0.33582175925925928</v>
      </c>
      <c r="H1059" s="31">
        <v>0.67709490740740741</v>
      </c>
      <c r="I1059" s="43">
        <f>H1059-G1059</f>
        <v>0.34127314814814813</v>
      </c>
      <c r="J1059" s="43">
        <v>0.3</v>
      </c>
      <c r="K1059" s="2">
        <f>I1059-J1059</f>
        <v>4.1273148148148142E-2</v>
      </c>
      <c r="L1059" s="3"/>
      <c r="M1059" s="4">
        <f>F1059/I1059</f>
        <v>0.12792511700468021</v>
      </c>
      <c r="N1059" s="4">
        <f>I1059/J1059</f>
        <v>1.1375771604938272</v>
      </c>
    </row>
    <row r="1060" spans="1:14" x14ac:dyDescent="0.3">
      <c r="A1060" s="29">
        <v>46111</v>
      </c>
      <c r="B1060" s="8">
        <f>YEAR(A1060)</f>
        <v>2026</v>
      </c>
      <c r="C1060" s="27" t="str">
        <f>TEXT(A1060,"MMMM")</f>
        <v>março</v>
      </c>
      <c r="D1060" s="30" t="s">
        <v>69</v>
      </c>
      <c r="E1060" s="30" t="s">
        <v>34</v>
      </c>
      <c r="F1060" s="31">
        <v>3.4490740740740738E-2</v>
      </c>
      <c r="G1060" s="31">
        <v>0.42640046296296297</v>
      </c>
      <c r="H1060" s="31">
        <v>0.69819444444444445</v>
      </c>
      <c r="I1060" s="43">
        <f>H1060-G1060</f>
        <v>0.27179398148148148</v>
      </c>
      <c r="J1060" s="43">
        <v>0.3</v>
      </c>
      <c r="K1060" s="2"/>
      <c r="L1060" s="3">
        <f>J1060-I1060</f>
        <v>2.8206018518518505E-2</v>
      </c>
      <c r="M1060" s="4">
        <f>F1060/I1060</f>
        <v>0.1269003108631776</v>
      </c>
      <c r="N1060" s="4">
        <f>I1060/J1060</f>
        <v>0.90597993827160495</v>
      </c>
    </row>
    <row r="1061" spans="1:14" x14ac:dyDescent="0.3">
      <c r="A1061" s="29">
        <v>46111</v>
      </c>
      <c r="B1061" s="8">
        <f>YEAR(A1061)</f>
        <v>2026</v>
      </c>
      <c r="C1061" s="27" t="str">
        <f>TEXT(A1061,"MMMM")</f>
        <v>março</v>
      </c>
      <c r="D1061" s="30" t="s">
        <v>22</v>
      </c>
      <c r="E1061" s="30" t="s">
        <v>21</v>
      </c>
      <c r="F1061" s="31">
        <v>4.2060185185185187E-2</v>
      </c>
      <c r="G1061" s="31">
        <v>0.45358796296296294</v>
      </c>
      <c r="H1061" s="31">
        <v>0.75109953703703702</v>
      </c>
      <c r="I1061" s="43">
        <f>H1061-G1061</f>
        <v>0.29751157407407408</v>
      </c>
      <c r="J1061" s="43">
        <v>0.3</v>
      </c>
      <c r="K1061" s="2"/>
      <c r="L1061" s="3">
        <f>J1061-I1061</f>
        <v>2.4884259259259078E-3</v>
      </c>
      <c r="M1061" s="4">
        <f>F1061/I1061</f>
        <v>0.14137327368216301</v>
      </c>
      <c r="N1061" s="4">
        <f>I1061/J1061</f>
        <v>0.99170524691358031</v>
      </c>
    </row>
    <row r="1062" spans="1:14" x14ac:dyDescent="0.3">
      <c r="A1062" s="29">
        <v>46111</v>
      </c>
      <c r="B1062" s="8">
        <f>YEAR(A1062)</f>
        <v>2026</v>
      </c>
      <c r="C1062" s="27" t="str">
        <f>TEXT(A1062,"MMMM")</f>
        <v>março</v>
      </c>
      <c r="D1062" s="30" t="s">
        <v>33</v>
      </c>
      <c r="E1062" s="30" t="s">
        <v>34</v>
      </c>
      <c r="F1062" s="31">
        <v>3.3437500000000002E-2</v>
      </c>
      <c r="G1062" s="31">
        <v>0.33333333333333331</v>
      </c>
      <c r="H1062" s="31">
        <v>0.66192129629629626</v>
      </c>
      <c r="I1062" s="43">
        <f>H1062-G1062</f>
        <v>0.32858796296296294</v>
      </c>
      <c r="J1062" s="43">
        <v>0.3</v>
      </c>
      <c r="K1062" s="2">
        <f>I1062-J1062</f>
        <v>2.8587962962962954E-2</v>
      </c>
      <c r="L1062" s="3"/>
      <c r="M1062" s="4">
        <f>F1062/I1062</f>
        <v>0.1017611835153223</v>
      </c>
      <c r="N1062" s="4">
        <f>I1062/J1062</f>
        <v>1.0952932098765431</v>
      </c>
    </row>
    <row r="1063" spans="1:14" x14ac:dyDescent="0.3">
      <c r="A1063" s="29">
        <v>46111</v>
      </c>
      <c r="B1063" s="8">
        <f>YEAR(A1063)</f>
        <v>2026</v>
      </c>
      <c r="C1063" s="27" t="str">
        <f>TEXT(A1063,"MMMM")</f>
        <v>março</v>
      </c>
      <c r="D1063" s="30" t="s">
        <v>76</v>
      </c>
      <c r="E1063" s="30" t="s">
        <v>21</v>
      </c>
      <c r="F1063" s="31">
        <v>5.0902777777777776E-2</v>
      </c>
      <c r="G1063" s="31">
        <v>0.35266203703703702</v>
      </c>
      <c r="H1063" s="31">
        <v>0.75026620370370367</v>
      </c>
      <c r="I1063" s="43">
        <f>H1063-G1063</f>
        <v>0.39760416666666665</v>
      </c>
      <c r="J1063" s="43">
        <v>0.3</v>
      </c>
      <c r="K1063" s="2">
        <f>I1063-J1063</f>
        <v>9.7604166666666659E-2</v>
      </c>
      <c r="L1063" s="3"/>
      <c r="M1063" s="4">
        <f>F1063/I1063</f>
        <v>0.12802375338398395</v>
      </c>
      <c r="N1063" s="4">
        <f>I1063/J1063</f>
        <v>1.3253472222222222</v>
      </c>
    </row>
    <row r="1064" spans="1:14" x14ac:dyDescent="0.3">
      <c r="A1064" s="29">
        <v>46111</v>
      </c>
      <c r="B1064" s="8">
        <f>YEAR(A1064)</f>
        <v>2026</v>
      </c>
      <c r="C1064" s="27" t="str">
        <f>TEXT(A1064,"MMMM")</f>
        <v>março</v>
      </c>
      <c r="D1064" s="30" t="s">
        <v>77</v>
      </c>
      <c r="E1064" s="30" t="s">
        <v>34</v>
      </c>
      <c r="F1064" s="31">
        <v>4.6273148148148147E-2</v>
      </c>
      <c r="G1064" s="31">
        <v>0.45030092592592591</v>
      </c>
      <c r="H1064" s="31">
        <v>0.7505208333333333</v>
      </c>
      <c r="I1064" s="43">
        <f>H1064-G1064</f>
        <v>0.30021990740740739</v>
      </c>
      <c r="J1064" s="43">
        <v>0.3</v>
      </c>
      <c r="K1064" s="2">
        <f>I1064-J1064</f>
        <v>2.1990740740740478E-4</v>
      </c>
      <c r="L1064" s="3"/>
      <c r="M1064" s="4">
        <f>F1064/I1064</f>
        <v>0.15413084544508271</v>
      </c>
      <c r="N1064" s="4">
        <f>I1064/J1064</f>
        <v>1.0007330246913579</v>
      </c>
    </row>
    <row r="1065" spans="1:14" x14ac:dyDescent="0.3">
      <c r="A1065" s="29">
        <v>46111</v>
      </c>
      <c r="B1065" s="8">
        <f>YEAR(A1065)</f>
        <v>2026</v>
      </c>
      <c r="C1065" s="27" t="str">
        <f>TEXT(A1065,"MMMM")</f>
        <v>março</v>
      </c>
      <c r="D1065" s="30" t="s">
        <v>25</v>
      </c>
      <c r="E1065" s="30" t="s">
        <v>21</v>
      </c>
      <c r="F1065" s="31">
        <v>4.449074074074074E-2</v>
      </c>
      <c r="G1065" s="31">
        <v>0.33333333333333331</v>
      </c>
      <c r="H1065" s="31">
        <v>0.54917824074074073</v>
      </c>
      <c r="I1065" s="43">
        <f>H1065-G1065</f>
        <v>0.21584490740740742</v>
      </c>
      <c r="J1065" s="43">
        <v>0.3</v>
      </c>
      <c r="K1065" s="2"/>
      <c r="L1065" s="3">
        <f>J1065-I1065</f>
        <v>8.4155092592592573E-2</v>
      </c>
      <c r="M1065" s="4">
        <f>F1065/I1065</f>
        <v>0.20612365274277439</v>
      </c>
      <c r="N1065" s="4">
        <f>I1065/J1065</f>
        <v>0.71948302469135805</v>
      </c>
    </row>
    <row r="1066" spans="1:14" x14ac:dyDescent="0.3">
      <c r="A1066" s="29">
        <v>46111</v>
      </c>
      <c r="B1066" s="8">
        <f>YEAR(A1066)</f>
        <v>2026</v>
      </c>
      <c r="C1066" s="27" t="str">
        <f>TEXT(A1066,"MMMM")</f>
        <v>março</v>
      </c>
      <c r="D1066" s="30" t="s">
        <v>26</v>
      </c>
      <c r="E1066" s="30" t="s">
        <v>15</v>
      </c>
      <c r="F1066" s="31">
        <v>3.6620370370370373E-2</v>
      </c>
      <c r="G1066" s="31">
        <v>0.3334375</v>
      </c>
      <c r="H1066" s="31">
        <v>0.63472222222222219</v>
      </c>
      <c r="I1066" s="43">
        <f>H1066-G1066</f>
        <v>0.30128472222222219</v>
      </c>
      <c r="J1066" s="43">
        <v>0.3</v>
      </c>
      <c r="K1066" s="2">
        <f>I1066-J1066</f>
        <v>1.284722222222201E-3</v>
      </c>
      <c r="L1066" s="3"/>
      <c r="M1066" s="4">
        <f>F1066/I1066</f>
        <v>0.12154738580922748</v>
      </c>
      <c r="N1066" s="4">
        <f>I1066/J1066</f>
        <v>1.0042824074074073</v>
      </c>
    </row>
    <row r="1067" spans="1:14" x14ac:dyDescent="0.3">
      <c r="A1067" s="29">
        <v>46111</v>
      </c>
      <c r="B1067" s="8">
        <f>YEAR(A1067)</f>
        <v>2026</v>
      </c>
      <c r="C1067" s="27" t="str">
        <f>TEXT(A1067,"MMMM")</f>
        <v>março</v>
      </c>
      <c r="D1067" s="30" t="s">
        <v>68</v>
      </c>
      <c r="E1067" s="30" t="s">
        <v>34</v>
      </c>
      <c r="F1067" s="31">
        <v>4.9201388888888892E-2</v>
      </c>
      <c r="G1067" s="31">
        <v>0.44430555555555556</v>
      </c>
      <c r="H1067" s="31">
        <v>0.75017361111111114</v>
      </c>
      <c r="I1067" s="43">
        <f>H1067-G1067</f>
        <v>0.30586805555555557</v>
      </c>
      <c r="J1067" s="43">
        <v>0.3</v>
      </c>
      <c r="K1067" s="2">
        <f>I1067-J1067</f>
        <v>5.8680555555555847E-3</v>
      </c>
      <c r="L1067" s="3"/>
      <c r="M1067" s="4">
        <f>F1067/I1067</f>
        <v>0.16085821319105462</v>
      </c>
      <c r="N1067" s="4">
        <f>I1067/J1067</f>
        <v>1.0195601851851852</v>
      </c>
    </row>
    <row r="1068" spans="1:14" x14ac:dyDescent="0.3">
      <c r="A1068" s="29">
        <v>46111</v>
      </c>
      <c r="B1068" s="8">
        <f>YEAR(A1068)</f>
        <v>2026</v>
      </c>
      <c r="C1068" s="27" t="str">
        <f>TEXT(A1068,"MMMM")</f>
        <v>março</v>
      </c>
      <c r="D1068" s="30" t="s">
        <v>32</v>
      </c>
      <c r="E1068" s="30" t="s">
        <v>34</v>
      </c>
      <c r="F1068" s="31">
        <v>4.5127314814814815E-2</v>
      </c>
      <c r="G1068" s="31">
        <v>0.41052083333333333</v>
      </c>
      <c r="H1068" s="31">
        <v>0.75306712962962963</v>
      </c>
      <c r="I1068" s="43">
        <f>H1068-G1068</f>
        <v>0.34254629629629629</v>
      </c>
      <c r="J1068" s="43">
        <v>0.3</v>
      </c>
      <c r="K1068" s="2">
        <f>I1068-J1068</f>
        <v>4.2546296296296304E-2</v>
      </c>
      <c r="L1068" s="3"/>
      <c r="M1068" s="4">
        <f>F1068/I1068</f>
        <v>0.13174077578051088</v>
      </c>
      <c r="N1068" s="4">
        <f>I1068/J1068</f>
        <v>1.1418209876543211</v>
      </c>
    </row>
    <row r="1069" spans="1:14" x14ac:dyDescent="0.3">
      <c r="A1069" s="29">
        <v>46111</v>
      </c>
      <c r="B1069" s="8">
        <f>YEAR(A1069)</f>
        <v>2026</v>
      </c>
      <c r="C1069" s="27" t="str">
        <f>TEXT(A1069,"MMMM")</f>
        <v>março</v>
      </c>
      <c r="D1069" s="30" t="s">
        <v>29</v>
      </c>
      <c r="E1069" s="30" t="s">
        <v>34</v>
      </c>
      <c r="F1069" s="31">
        <v>7.1238425925925927E-2</v>
      </c>
      <c r="G1069" s="31">
        <v>0.33744212962962961</v>
      </c>
      <c r="H1069" s="31">
        <v>0.66087962962962965</v>
      </c>
      <c r="I1069" s="43">
        <f>H1069-G1069</f>
        <v>0.32343750000000004</v>
      </c>
      <c r="J1069" s="43">
        <v>0.3</v>
      </c>
      <c r="K1069" s="2">
        <f>I1069-J1069</f>
        <v>2.3437500000000056E-2</v>
      </c>
      <c r="L1069" s="3"/>
      <c r="M1069" s="4">
        <f>F1069/I1069</f>
        <v>0.22025407049561635</v>
      </c>
      <c r="N1069" s="4">
        <f>I1069/J1069</f>
        <v>1.0781250000000002</v>
      </c>
    </row>
    <row r="1070" spans="1:14" x14ac:dyDescent="0.3">
      <c r="A1070" s="29">
        <v>46112</v>
      </c>
      <c r="B1070" s="8">
        <f>YEAR(A1070)</f>
        <v>2026</v>
      </c>
      <c r="C1070" s="27" t="str">
        <f>TEXT(A1070,"MMMM")</f>
        <v>março</v>
      </c>
      <c r="D1070" s="30" t="s">
        <v>16</v>
      </c>
      <c r="E1070" s="30" t="s">
        <v>34</v>
      </c>
      <c r="F1070" s="31">
        <v>5.1319444444444445E-2</v>
      </c>
      <c r="G1070" s="31">
        <v>0.33364583333333331</v>
      </c>
      <c r="H1070" s="31">
        <v>0.64214120370370376</v>
      </c>
      <c r="I1070" s="43">
        <f>H1070-G1070</f>
        <v>0.30849537037037045</v>
      </c>
      <c r="J1070" s="43">
        <v>0.3</v>
      </c>
      <c r="K1070" s="2">
        <f>I1070-J1070</f>
        <v>8.4953703703704586E-3</v>
      </c>
      <c r="L1070" s="3"/>
      <c r="M1070" s="4">
        <f>F1070/I1070</f>
        <v>0.1663540181586253</v>
      </c>
      <c r="N1070" s="4">
        <f>I1070/J1070</f>
        <v>1.0283179012345682</v>
      </c>
    </row>
    <row r="1071" spans="1:14" x14ac:dyDescent="0.3">
      <c r="A1071" s="29">
        <v>46112</v>
      </c>
      <c r="B1071" s="8">
        <f>YEAR(A1071)</f>
        <v>2026</v>
      </c>
      <c r="C1071" s="27" t="str">
        <f>TEXT(A1071,"MMMM")</f>
        <v>março</v>
      </c>
      <c r="D1071" s="30" t="s">
        <v>47</v>
      </c>
      <c r="E1071" s="30" t="s">
        <v>34</v>
      </c>
      <c r="F1071" s="31">
        <v>4.2905092592592592E-2</v>
      </c>
      <c r="G1071" s="31">
        <v>0.52081018518518518</v>
      </c>
      <c r="H1071" s="31">
        <v>0.75207175925925929</v>
      </c>
      <c r="I1071" s="43">
        <f>H1071-G1071</f>
        <v>0.23126157407407411</v>
      </c>
      <c r="J1071" s="43">
        <v>0.25</v>
      </c>
      <c r="K1071" s="2"/>
      <c r="L1071" s="3">
        <f>J1071-I1071</f>
        <v>1.8738425925925895E-2</v>
      </c>
      <c r="M1071" s="4">
        <f>F1071/I1071</f>
        <v>0.18552624993744055</v>
      </c>
      <c r="N1071" s="4">
        <f>I1071/J1071</f>
        <v>0.92504629629629642</v>
      </c>
    </row>
    <row r="1072" spans="1:14" x14ac:dyDescent="0.3">
      <c r="A1072" s="29">
        <v>46112</v>
      </c>
      <c r="B1072" s="8">
        <f>YEAR(A1072)</f>
        <v>2026</v>
      </c>
      <c r="C1072" s="27" t="str">
        <f>TEXT(A1072,"MMMM")</f>
        <v>março</v>
      </c>
      <c r="D1072" s="30" t="s">
        <v>18</v>
      </c>
      <c r="E1072" s="30" t="s">
        <v>34</v>
      </c>
      <c r="F1072" s="31">
        <v>4.9305555555555554E-2</v>
      </c>
      <c r="G1072" s="31">
        <v>0.34947916666666667</v>
      </c>
      <c r="H1072" s="31">
        <v>0.66519675925925925</v>
      </c>
      <c r="I1072" s="43">
        <f>H1072-G1072</f>
        <v>0.31571759259259258</v>
      </c>
      <c r="J1072" s="43">
        <v>0.3</v>
      </c>
      <c r="K1072" s="2">
        <f>I1072-J1072</f>
        <v>1.5717592592592589E-2</v>
      </c>
      <c r="L1072" s="3"/>
      <c r="M1072" s="4">
        <f>F1072/I1072</f>
        <v>0.15616980717061368</v>
      </c>
      <c r="N1072" s="4">
        <f>I1072/J1072</f>
        <v>1.0523919753086419</v>
      </c>
    </row>
    <row r="1073" spans="1:14" x14ac:dyDescent="0.3">
      <c r="A1073" s="29">
        <v>46112</v>
      </c>
      <c r="B1073" s="8">
        <f>YEAR(A1073)</f>
        <v>2026</v>
      </c>
      <c r="C1073" s="27" t="str">
        <f>TEXT(A1073,"MMMM")</f>
        <v>março</v>
      </c>
      <c r="D1073" s="30" t="s">
        <v>19</v>
      </c>
      <c r="E1073" s="30" t="s">
        <v>34</v>
      </c>
      <c r="F1073" s="31">
        <v>5.541666666666667E-2</v>
      </c>
      <c r="G1073" s="31">
        <v>0.33547453703703706</v>
      </c>
      <c r="H1073" s="31">
        <v>0.6683217592592593</v>
      </c>
      <c r="I1073" s="43">
        <f>H1073-G1073</f>
        <v>0.33284722222222224</v>
      </c>
      <c r="J1073" s="43">
        <v>0.3</v>
      </c>
      <c r="K1073" s="2">
        <f>I1073-J1073</f>
        <v>3.284722222222225E-2</v>
      </c>
      <c r="L1073" s="3"/>
      <c r="M1073" s="4">
        <f>F1073/I1073</f>
        <v>0.16649280200292094</v>
      </c>
      <c r="N1073" s="4">
        <f>I1073/J1073</f>
        <v>1.1094907407407408</v>
      </c>
    </row>
    <row r="1074" spans="1:14" x14ac:dyDescent="0.3">
      <c r="A1074" s="29">
        <v>46112</v>
      </c>
      <c r="B1074" s="8">
        <f>YEAR(A1074)</f>
        <v>2026</v>
      </c>
      <c r="C1074" s="27" t="str">
        <f>TEXT(A1074,"MMMM")</f>
        <v>março</v>
      </c>
      <c r="D1074" s="30" t="s">
        <v>69</v>
      </c>
      <c r="E1074" s="30" t="s">
        <v>34</v>
      </c>
      <c r="F1074" s="31">
        <v>3.8194444444444448E-2</v>
      </c>
      <c r="G1074" s="31">
        <v>0.50265046296296301</v>
      </c>
      <c r="H1074" s="31">
        <v>0.70309027777777777</v>
      </c>
      <c r="I1074" s="43">
        <f>H1074-G1074</f>
        <v>0.20043981481481477</v>
      </c>
      <c r="J1074" s="43">
        <v>0.3</v>
      </c>
      <c r="K1074" s="2"/>
      <c r="L1074" s="3">
        <f>J1074-I1074</f>
        <v>9.9560185185185224E-2</v>
      </c>
      <c r="M1074" s="4">
        <f>F1074/I1074</f>
        <v>0.1905531816606999</v>
      </c>
      <c r="N1074" s="4">
        <f>I1074/J1074</f>
        <v>0.66813271604938262</v>
      </c>
    </row>
    <row r="1075" spans="1:14" x14ac:dyDescent="0.3">
      <c r="A1075" s="29">
        <v>46112</v>
      </c>
      <c r="B1075" s="8">
        <f>YEAR(A1075)</f>
        <v>2026</v>
      </c>
      <c r="C1075" s="27" t="str">
        <f>TEXT(A1075,"MMMM")</f>
        <v>março</v>
      </c>
      <c r="D1075" s="30" t="s">
        <v>22</v>
      </c>
      <c r="E1075" s="30" t="s">
        <v>21</v>
      </c>
      <c r="F1075" s="31">
        <v>4.0115740740740743E-2</v>
      </c>
      <c r="G1075" s="31">
        <v>0.39986111111111111</v>
      </c>
      <c r="H1075" s="31">
        <v>0.75070601851851848</v>
      </c>
      <c r="I1075" s="43">
        <f>H1075-G1075</f>
        <v>0.35084490740740737</v>
      </c>
      <c r="J1075" s="43">
        <v>0.3</v>
      </c>
      <c r="K1075" s="2">
        <f>I1075-J1075</f>
        <v>5.084490740740738E-2</v>
      </c>
      <c r="L1075" s="3"/>
      <c r="M1075" s="4">
        <f>F1075/I1075</f>
        <v>0.11434038201431732</v>
      </c>
      <c r="N1075" s="4">
        <f>I1075/J1075</f>
        <v>1.1694830246913579</v>
      </c>
    </row>
    <row r="1076" spans="1:14" x14ac:dyDescent="0.3">
      <c r="A1076" s="29">
        <v>46112</v>
      </c>
      <c r="B1076" s="8">
        <f>YEAR(A1076)</f>
        <v>2026</v>
      </c>
      <c r="C1076" s="27" t="str">
        <f>TEXT(A1076,"MMMM")</f>
        <v>março</v>
      </c>
      <c r="D1076" s="30" t="s">
        <v>33</v>
      </c>
      <c r="E1076" s="30" t="s">
        <v>34</v>
      </c>
      <c r="F1076" s="31">
        <v>4.715277777777778E-2</v>
      </c>
      <c r="G1076" s="31">
        <v>0.33333333333333331</v>
      </c>
      <c r="H1076" s="31">
        <v>0.66793981481481479</v>
      </c>
      <c r="I1076" s="43">
        <f>H1076-G1076</f>
        <v>0.33460648148148148</v>
      </c>
      <c r="J1076" s="43">
        <v>0.3</v>
      </c>
      <c r="K1076" s="2">
        <f>I1076-J1076</f>
        <v>3.4606481481481488E-2</v>
      </c>
      <c r="L1076" s="3"/>
      <c r="M1076" s="4">
        <f>F1076/I1076</f>
        <v>0.14092009685230025</v>
      </c>
      <c r="N1076" s="4">
        <f>I1076/J1076</f>
        <v>1.115354938271605</v>
      </c>
    </row>
    <row r="1077" spans="1:14" x14ac:dyDescent="0.3">
      <c r="A1077" s="29">
        <v>46112</v>
      </c>
      <c r="B1077" s="8">
        <f>YEAR(A1077)</f>
        <v>2026</v>
      </c>
      <c r="C1077" s="27" t="str">
        <f>TEXT(A1077,"MMMM")</f>
        <v>março</v>
      </c>
      <c r="D1077" s="30" t="s">
        <v>76</v>
      </c>
      <c r="E1077" s="30" t="s">
        <v>21</v>
      </c>
      <c r="F1077" s="31">
        <v>4.2546296296296297E-2</v>
      </c>
      <c r="G1077" s="31">
        <v>0.39847222222222223</v>
      </c>
      <c r="H1077" s="31">
        <v>0.75084490740740739</v>
      </c>
      <c r="I1077" s="43">
        <f>H1077-G1077</f>
        <v>0.35237268518518516</v>
      </c>
      <c r="J1077" s="43">
        <v>0.3</v>
      </c>
      <c r="K1077" s="2">
        <f>I1077-J1077</f>
        <v>5.2372685185185175E-2</v>
      </c>
      <c r="L1077" s="3"/>
      <c r="M1077" s="4">
        <f>F1077/I1077</f>
        <v>0.12074232222039745</v>
      </c>
      <c r="N1077" s="4">
        <f>I1077/J1077</f>
        <v>1.1745756172839505</v>
      </c>
    </row>
    <row r="1078" spans="1:14" x14ac:dyDescent="0.3">
      <c r="A1078" s="29">
        <v>46112</v>
      </c>
      <c r="B1078" s="8">
        <f>YEAR(A1078)</f>
        <v>2026</v>
      </c>
      <c r="C1078" s="27" t="str">
        <f>TEXT(A1078,"MMMM")</f>
        <v>março</v>
      </c>
      <c r="D1078" s="30" t="s">
        <v>77</v>
      </c>
      <c r="E1078" s="30" t="s">
        <v>34</v>
      </c>
      <c r="F1078" s="31">
        <v>4.7245370370370368E-2</v>
      </c>
      <c r="G1078" s="31">
        <v>0.46403935185185186</v>
      </c>
      <c r="H1078" s="31">
        <v>0.75035879629629632</v>
      </c>
      <c r="I1078" s="43">
        <f>H1078-G1078</f>
        <v>0.28631944444444446</v>
      </c>
      <c r="J1078" s="43">
        <v>0.3</v>
      </c>
      <c r="K1078" s="2"/>
      <c r="L1078" s="3">
        <f>J1078-I1078</f>
        <v>1.3680555555555529E-2</v>
      </c>
      <c r="M1078" s="4">
        <f>F1078/I1078</f>
        <v>0.16500929743714121</v>
      </c>
      <c r="N1078" s="4">
        <f>I1078/J1078</f>
        <v>0.95439814814814827</v>
      </c>
    </row>
    <row r="1079" spans="1:14" x14ac:dyDescent="0.3">
      <c r="A1079" s="29">
        <v>46112</v>
      </c>
      <c r="B1079" s="8">
        <f>YEAR(A1079)</f>
        <v>2026</v>
      </c>
      <c r="C1079" s="27" t="str">
        <f>TEXT(A1079,"MMMM")</f>
        <v>março</v>
      </c>
      <c r="D1079" s="30" t="s">
        <v>25</v>
      </c>
      <c r="E1079" s="30" t="s">
        <v>21</v>
      </c>
      <c r="F1079" s="31">
        <v>6.9432870370370367E-2</v>
      </c>
      <c r="G1079" s="31">
        <v>0.33289351851851851</v>
      </c>
      <c r="H1079" s="31">
        <v>0.65532407407407411</v>
      </c>
      <c r="I1079" s="43">
        <f>H1079-G1079</f>
        <v>0.32243055555555561</v>
      </c>
      <c r="J1079" s="43">
        <v>0.3</v>
      </c>
      <c r="K1079" s="2">
        <f>I1079-J1079</f>
        <v>2.243055555555562E-2</v>
      </c>
      <c r="L1079" s="3"/>
      <c r="M1079" s="4">
        <f>F1079/I1079</f>
        <v>0.21534209203819366</v>
      </c>
      <c r="N1079" s="4">
        <f>I1079/J1079</f>
        <v>1.0747685185185187</v>
      </c>
    </row>
    <row r="1080" spans="1:14" x14ac:dyDescent="0.3">
      <c r="A1080" s="29">
        <v>46112</v>
      </c>
      <c r="B1080" s="8">
        <f>YEAR(A1080)</f>
        <v>2026</v>
      </c>
      <c r="C1080" s="27" t="str">
        <f>TEXT(A1080,"MMMM")</f>
        <v>março</v>
      </c>
      <c r="D1080" s="30" t="s">
        <v>26</v>
      </c>
      <c r="E1080" s="30" t="s">
        <v>15</v>
      </c>
      <c r="F1080" s="31">
        <v>4.0324074074074075E-2</v>
      </c>
      <c r="G1080" s="31">
        <v>0.37343749999999998</v>
      </c>
      <c r="H1080" s="31">
        <v>0.71775462962962966</v>
      </c>
      <c r="I1080" s="43">
        <f>H1080-G1080</f>
        <v>0.34431712962962968</v>
      </c>
      <c r="J1080" s="43">
        <v>0.3</v>
      </c>
      <c r="K1080" s="2">
        <f>I1080-J1080</f>
        <v>4.4317129629629692E-2</v>
      </c>
      <c r="L1080" s="3"/>
      <c r="M1080" s="4">
        <f>F1080/I1080</f>
        <v>0.11711318027496721</v>
      </c>
      <c r="N1080" s="4">
        <f>I1080/J1080</f>
        <v>1.1477237654320991</v>
      </c>
    </row>
    <row r="1081" spans="1:14" x14ac:dyDescent="0.3">
      <c r="A1081" s="29">
        <v>46112</v>
      </c>
      <c r="B1081" s="8">
        <f>YEAR(A1081)</f>
        <v>2026</v>
      </c>
      <c r="C1081" s="27" t="str">
        <f>TEXT(A1081,"MMMM")</f>
        <v>março</v>
      </c>
      <c r="D1081" s="30" t="s">
        <v>68</v>
      </c>
      <c r="E1081" s="30" t="s">
        <v>34</v>
      </c>
      <c r="F1081" s="31">
        <v>5.1157407407407408E-2</v>
      </c>
      <c r="G1081" s="31">
        <v>0.45776620370370369</v>
      </c>
      <c r="H1081" s="31">
        <v>0.75061342592592595</v>
      </c>
      <c r="I1081" s="43">
        <f>H1081-G1081</f>
        <v>0.29284722222222226</v>
      </c>
      <c r="J1081" s="43">
        <v>0.3</v>
      </c>
      <c r="K1081" s="2"/>
      <c r="L1081" s="3">
        <f>J1081-I1081</f>
        <v>7.1527777777777302E-3</v>
      </c>
      <c r="M1081" s="4">
        <f>F1081/I1081</f>
        <v>0.17468974784602007</v>
      </c>
      <c r="N1081" s="4">
        <f>I1081/J1081</f>
        <v>0.97615740740740753</v>
      </c>
    </row>
    <row r="1082" spans="1:14" x14ac:dyDescent="0.3">
      <c r="A1082" s="29">
        <v>46112</v>
      </c>
      <c r="B1082" s="8">
        <f>YEAR(A1082)</f>
        <v>2026</v>
      </c>
      <c r="C1082" s="27" t="str">
        <f>TEXT(A1082,"MMMM")</f>
        <v>março</v>
      </c>
      <c r="D1082" s="30" t="s">
        <v>32</v>
      </c>
      <c r="E1082" s="30" t="s">
        <v>34</v>
      </c>
      <c r="F1082" s="31">
        <v>4.7731481481481479E-2</v>
      </c>
      <c r="G1082" s="31">
        <v>0.42312499999999997</v>
      </c>
      <c r="H1082" s="31">
        <v>0.75083333333333335</v>
      </c>
      <c r="I1082" s="43">
        <f>H1082-G1082</f>
        <v>0.32770833333333338</v>
      </c>
      <c r="J1082" s="43">
        <v>0.3</v>
      </c>
      <c r="K1082" s="2">
        <f>I1082-J1082</f>
        <v>2.770833333333339E-2</v>
      </c>
      <c r="L1082" s="3"/>
      <c r="M1082" s="4">
        <f>F1082/I1082</f>
        <v>0.14565232747050927</v>
      </c>
      <c r="N1082" s="4">
        <f>I1082/J1082</f>
        <v>1.0923611111111113</v>
      </c>
    </row>
    <row r="1083" spans="1:14" x14ac:dyDescent="0.3">
      <c r="A1083" s="29">
        <v>46112</v>
      </c>
      <c r="B1083" s="8">
        <f>YEAR(A1083)</f>
        <v>2026</v>
      </c>
      <c r="C1083" s="27" t="str">
        <f>TEXT(A1083,"MMMM")</f>
        <v>março</v>
      </c>
      <c r="D1083" s="30" t="s">
        <v>29</v>
      </c>
      <c r="E1083" s="30" t="s">
        <v>34</v>
      </c>
      <c r="F1083" s="31">
        <v>7.1724537037037031E-2</v>
      </c>
      <c r="G1083" s="31">
        <v>0.33718749999999997</v>
      </c>
      <c r="H1083" s="31">
        <v>0.67238425925925926</v>
      </c>
      <c r="I1083" s="43">
        <f>H1083-G1083</f>
        <v>0.33519675925925929</v>
      </c>
      <c r="J1083" s="43">
        <v>0.3</v>
      </c>
      <c r="K1083" s="2">
        <f>I1083-J1083</f>
        <v>3.5196759259259303E-2</v>
      </c>
      <c r="L1083" s="3"/>
      <c r="M1083" s="4">
        <f>F1083/I1083</f>
        <v>0.21397741790684019</v>
      </c>
      <c r="N1083" s="4">
        <f>I1083/J1083</f>
        <v>1.1173225308641976</v>
      </c>
    </row>
    <row r="1084" spans="1:14" x14ac:dyDescent="0.3">
      <c r="A1084" s="29">
        <v>46113</v>
      </c>
      <c r="B1084" s="8">
        <f>YEAR(A1084)</f>
        <v>2026</v>
      </c>
      <c r="C1084" s="27" t="str">
        <f>TEXT(A1084,"MMMM")</f>
        <v>abril</v>
      </c>
      <c r="D1084" s="30" t="s">
        <v>16</v>
      </c>
      <c r="E1084" s="30" t="s">
        <v>34</v>
      </c>
      <c r="F1084" s="31">
        <v>4.3912037037037034E-2</v>
      </c>
      <c r="G1084" s="31">
        <v>0.33627314814814813</v>
      </c>
      <c r="H1084" s="31">
        <v>0.63365740740740739</v>
      </c>
      <c r="I1084" s="43">
        <f>H1084-G1084</f>
        <v>0.29738425925925926</v>
      </c>
      <c r="J1084" s="43">
        <v>0.3</v>
      </c>
      <c r="K1084" s="2"/>
      <c r="L1084" s="3">
        <f>J1084-I1084</f>
        <v>2.615740740740724E-3</v>
      </c>
      <c r="M1084" s="4">
        <f>F1084/I1084</f>
        <v>0.14766093251342724</v>
      </c>
      <c r="N1084" s="4">
        <f>I1084/J1084</f>
        <v>0.99128086419753092</v>
      </c>
    </row>
    <row r="1085" spans="1:14" x14ac:dyDescent="0.3">
      <c r="A1085" s="29">
        <v>46113</v>
      </c>
      <c r="B1085" s="8">
        <f>YEAR(A1085)</f>
        <v>2026</v>
      </c>
      <c r="C1085" s="27" t="str">
        <f>TEXT(A1085,"MMMM")</f>
        <v>abril</v>
      </c>
      <c r="D1085" s="30" t="s">
        <v>18</v>
      </c>
      <c r="E1085" s="30" t="s">
        <v>34</v>
      </c>
      <c r="F1085" s="31">
        <v>3.8067129629629631E-2</v>
      </c>
      <c r="G1085" s="31">
        <v>0.33519675925925924</v>
      </c>
      <c r="H1085" s="31">
        <v>0.63430555555555557</v>
      </c>
      <c r="I1085" s="43">
        <f>H1085-G1085</f>
        <v>0.29910879629629633</v>
      </c>
      <c r="J1085" s="43">
        <v>0.3</v>
      </c>
      <c r="K1085" s="2"/>
      <c r="L1085" s="3">
        <f>J1085-I1085</f>
        <v>8.9120370370365798E-4</v>
      </c>
      <c r="M1085" s="4">
        <f>F1085/I1085</f>
        <v>0.12726850597840808</v>
      </c>
      <c r="N1085" s="4">
        <f>I1085/J1085</f>
        <v>0.99702932098765451</v>
      </c>
    </row>
    <row r="1086" spans="1:14" x14ac:dyDescent="0.3">
      <c r="A1086" s="29">
        <v>46113</v>
      </c>
      <c r="B1086" s="8">
        <f>YEAR(A1086)</f>
        <v>2026</v>
      </c>
      <c r="C1086" s="27" t="str">
        <f>TEXT(A1086,"MMMM")</f>
        <v>abril</v>
      </c>
      <c r="D1086" s="30" t="s">
        <v>19</v>
      </c>
      <c r="E1086" s="30" t="s">
        <v>34</v>
      </c>
      <c r="F1086" s="31">
        <v>4.8680555555555553E-2</v>
      </c>
      <c r="G1086" s="31">
        <v>0.33414351851851853</v>
      </c>
      <c r="H1086" s="31">
        <v>0.63358796296296294</v>
      </c>
      <c r="I1086" s="43">
        <f>H1086-G1086</f>
        <v>0.2994444444444444</v>
      </c>
      <c r="J1086" s="43">
        <v>0.3</v>
      </c>
      <c r="K1086" s="2"/>
      <c r="L1086" s="3">
        <f>J1086-I1086</f>
        <v>5.5555555555558689E-4</v>
      </c>
      <c r="M1086" s="4">
        <f>F1086/I1086</f>
        <v>0.16256957328385901</v>
      </c>
      <c r="N1086" s="4">
        <f>I1086/J1086</f>
        <v>0.99814814814814801</v>
      </c>
    </row>
    <row r="1087" spans="1:14" x14ac:dyDescent="0.3">
      <c r="A1087" s="29">
        <v>46113</v>
      </c>
      <c r="B1087" s="8">
        <f>YEAR(A1087)</f>
        <v>2026</v>
      </c>
      <c r="C1087" s="27" t="str">
        <f>TEXT(A1087,"MMMM")</f>
        <v>abril</v>
      </c>
      <c r="D1087" s="30" t="s">
        <v>69</v>
      </c>
      <c r="E1087" s="30" t="s">
        <v>34</v>
      </c>
      <c r="F1087" s="31">
        <v>4.5254629629629631E-2</v>
      </c>
      <c r="G1087" s="31">
        <v>0.33458333333333334</v>
      </c>
      <c r="H1087" s="31">
        <v>0.68082175925925925</v>
      </c>
      <c r="I1087" s="43">
        <f>H1087-G1087</f>
        <v>0.34623842592592591</v>
      </c>
      <c r="J1087" s="43">
        <v>0.3</v>
      </c>
      <c r="K1087" s="2">
        <f>I1087-J1087</f>
        <v>4.6238425925925919E-2</v>
      </c>
      <c r="L1087" s="3"/>
      <c r="M1087" s="4">
        <f>F1087/I1087</f>
        <v>0.13070366037105133</v>
      </c>
      <c r="N1087" s="4">
        <f>I1087/J1087</f>
        <v>1.1541280864197532</v>
      </c>
    </row>
    <row r="1088" spans="1:14" x14ac:dyDescent="0.3">
      <c r="A1088" s="29">
        <v>46113</v>
      </c>
      <c r="B1088" s="8">
        <f>YEAR(A1088)</f>
        <v>2026</v>
      </c>
      <c r="C1088" s="27" t="str">
        <f>TEXT(A1088,"MMMM")</f>
        <v>abril</v>
      </c>
      <c r="D1088" s="30" t="s">
        <v>22</v>
      </c>
      <c r="E1088" s="30" t="s">
        <v>34</v>
      </c>
      <c r="F1088" s="31">
        <v>3.5659722222222225E-2</v>
      </c>
      <c r="G1088" s="31">
        <v>0.42662037037037037</v>
      </c>
      <c r="H1088" s="31">
        <v>0.75090277777777781</v>
      </c>
      <c r="I1088" s="43">
        <f>H1088-G1088</f>
        <v>0.32428240740740744</v>
      </c>
      <c r="J1088" s="43">
        <v>0.3</v>
      </c>
      <c r="K1088" s="2">
        <f>I1088-J1088</f>
        <v>2.4282407407407447E-2</v>
      </c>
      <c r="L1088" s="3"/>
      <c r="M1088" s="4">
        <f>F1088/I1088</f>
        <v>0.109965022485545</v>
      </c>
      <c r="N1088" s="4">
        <f>I1088/J1088</f>
        <v>1.0809413580246916</v>
      </c>
    </row>
    <row r="1089" spans="1:14" x14ac:dyDescent="0.3">
      <c r="A1089" s="29">
        <v>46113</v>
      </c>
      <c r="B1089" s="8">
        <f>YEAR(A1089)</f>
        <v>2026</v>
      </c>
      <c r="C1089" s="27" t="str">
        <f>TEXT(A1089,"MMMM")</f>
        <v>abril</v>
      </c>
      <c r="D1089" s="30" t="s">
        <v>33</v>
      </c>
      <c r="E1089" s="30" t="s">
        <v>34</v>
      </c>
      <c r="F1089" s="31">
        <v>3.4016203703703701E-2</v>
      </c>
      <c r="G1089" s="31">
        <v>0.3336574074074074</v>
      </c>
      <c r="H1089" s="31">
        <v>0.63489583333333333</v>
      </c>
      <c r="I1089" s="43">
        <f>H1089-G1089</f>
        <v>0.30123842592592592</v>
      </c>
      <c r="J1089" s="43">
        <v>0.3</v>
      </c>
      <c r="K1089" s="2">
        <f>I1089-J1089</f>
        <v>1.2384259259259345E-3</v>
      </c>
      <c r="L1089" s="3"/>
      <c r="M1089" s="4">
        <f>F1089/I1089</f>
        <v>0.11292119721827333</v>
      </c>
      <c r="N1089" s="4">
        <f>I1089/J1089</f>
        <v>1.004128086419753</v>
      </c>
    </row>
    <row r="1090" spans="1:14" x14ac:dyDescent="0.3">
      <c r="A1090" s="29">
        <v>46113</v>
      </c>
      <c r="B1090" s="8">
        <f>YEAR(A1090)</f>
        <v>2026</v>
      </c>
      <c r="C1090" s="27" t="str">
        <f>TEXT(A1090,"MMMM")</f>
        <v>abril</v>
      </c>
      <c r="D1090" s="30" t="s">
        <v>24</v>
      </c>
      <c r="E1090" s="30" t="s">
        <v>34</v>
      </c>
      <c r="F1090" s="31">
        <v>5.136574074074074E-2</v>
      </c>
      <c r="G1090" s="31">
        <v>0.47302083333333333</v>
      </c>
      <c r="H1090" s="31">
        <v>0.75089120370370366</v>
      </c>
      <c r="I1090" s="43">
        <f>H1090-G1090</f>
        <v>0.27787037037037032</v>
      </c>
      <c r="J1090" s="43">
        <v>0.3</v>
      </c>
      <c r="K1090" s="2"/>
      <c r="L1090" s="3">
        <f>J1090-I1090</f>
        <v>2.2129629629629666E-2</v>
      </c>
      <c r="M1090" s="4">
        <f>F1090/I1090</f>
        <v>0.18485504831722763</v>
      </c>
      <c r="N1090" s="4">
        <f>I1090/J1090</f>
        <v>0.92623456790123448</v>
      </c>
    </row>
    <row r="1091" spans="1:14" x14ac:dyDescent="0.3">
      <c r="A1091" s="29">
        <v>46113</v>
      </c>
      <c r="B1091" s="8">
        <f>YEAR(A1091)</f>
        <v>2026</v>
      </c>
      <c r="C1091" s="27" t="str">
        <f>TEXT(A1091,"MMMM")</f>
        <v>abril</v>
      </c>
      <c r="D1091" s="30" t="s">
        <v>76</v>
      </c>
      <c r="E1091" s="30" t="s">
        <v>34</v>
      </c>
      <c r="F1091" s="31">
        <v>4.7002314814814816E-2</v>
      </c>
      <c r="G1091" s="31">
        <v>0.45197916666666665</v>
      </c>
      <c r="H1091" s="31">
        <v>0.75347222222222221</v>
      </c>
      <c r="I1091" s="43">
        <f>H1091-G1091</f>
        <v>0.30149305555555556</v>
      </c>
      <c r="J1091" s="43">
        <v>0.3</v>
      </c>
      <c r="K1091" s="2">
        <f>I1091-J1091</f>
        <v>1.4930555555555669E-3</v>
      </c>
      <c r="L1091" s="3"/>
      <c r="M1091" s="4">
        <f>F1091/I1091</f>
        <v>0.15589849898268648</v>
      </c>
      <c r="N1091" s="4">
        <f>I1091/J1091</f>
        <v>1.0049768518518518</v>
      </c>
    </row>
    <row r="1092" spans="1:14" x14ac:dyDescent="0.3">
      <c r="A1092" s="29">
        <v>46113</v>
      </c>
      <c r="B1092" s="8">
        <f>YEAR(A1092)</f>
        <v>2026</v>
      </c>
      <c r="C1092" s="27" t="str">
        <f>TEXT(A1092,"MMMM")</f>
        <v>abril</v>
      </c>
      <c r="D1092" s="30" t="s">
        <v>77</v>
      </c>
      <c r="E1092" s="30" t="s">
        <v>34</v>
      </c>
      <c r="F1092" s="31">
        <v>3.4039351851851848E-2</v>
      </c>
      <c r="G1092" s="31">
        <v>0.4689814814814815</v>
      </c>
      <c r="H1092" s="31">
        <v>0.75041666666666662</v>
      </c>
      <c r="I1092" s="43">
        <f>H1092-G1092</f>
        <v>0.28143518518518512</v>
      </c>
      <c r="J1092" s="43">
        <v>0.3</v>
      </c>
      <c r="K1092" s="2"/>
      <c r="L1092" s="3">
        <f>J1092-I1092</f>
        <v>1.8564814814814867E-2</v>
      </c>
      <c r="M1092" s="4">
        <f>F1092/I1092</f>
        <v>0.12094916927126173</v>
      </c>
      <c r="N1092" s="4">
        <f>I1092/J1092</f>
        <v>0.93811728395061711</v>
      </c>
    </row>
    <row r="1093" spans="1:14" x14ac:dyDescent="0.3">
      <c r="A1093" s="29">
        <v>46113</v>
      </c>
      <c r="B1093" s="8">
        <f>YEAR(A1093)</f>
        <v>2026</v>
      </c>
      <c r="C1093" s="27" t="str">
        <f>TEXT(A1093,"MMMM")</f>
        <v>abril</v>
      </c>
      <c r="D1093" s="30" t="s">
        <v>25</v>
      </c>
      <c r="E1093" s="30" t="s">
        <v>21</v>
      </c>
      <c r="F1093" s="31">
        <v>5.5173611111111111E-2</v>
      </c>
      <c r="G1093" s="31">
        <v>0.33333333333333331</v>
      </c>
      <c r="H1093" s="31">
        <v>0.65476851851851847</v>
      </c>
      <c r="I1093" s="43">
        <f>H1093-G1093</f>
        <v>0.32143518518518516</v>
      </c>
      <c r="J1093" s="43">
        <v>0.3</v>
      </c>
      <c r="K1093" s="2">
        <f>I1093-J1093</f>
        <v>2.1435185185185168E-2</v>
      </c>
      <c r="L1093" s="3"/>
      <c r="M1093" s="4">
        <f>F1093/I1093</f>
        <v>0.17164770272216623</v>
      </c>
      <c r="N1093" s="4">
        <f>I1093/J1093</f>
        <v>1.0714506172839506</v>
      </c>
    </row>
    <row r="1094" spans="1:14" x14ac:dyDescent="0.3">
      <c r="A1094" s="29">
        <v>46113</v>
      </c>
      <c r="B1094" s="8">
        <f>YEAR(A1094)</f>
        <v>2026</v>
      </c>
      <c r="C1094" s="27" t="str">
        <f>TEXT(A1094,"MMMM")</f>
        <v>abril</v>
      </c>
      <c r="D1094" s="30" t="s">
        <v>26</v>
      </c>
      <c r="E1094" s="30" t="s">
        <v>15</v>
      </c>
      <c r="F1094" s="31">
        <v>3.9930555555555552E-2</v>
      </c>
      <c r="G1094" s="31">
        <v>0.33344907407407409</v>
      </c>
      <c r="H1094" s="31">
        <v>0.63423611111111111</v>
      </c>
      <c r="I1094" s="43">
        <f>H1094-G1094</f>
        <v>0.30078703703703702</v>
      </c>
      <c r="J1094" s="43">
        <v>0.3</v>
      </c>
      <c r="K1094" s="2">
        <f>I1094-J1094</f>
        <v>7.8703703703703054E-4</v>
      </c>
      <c r="L1094" s="3"/>
      <c r="M1094" s="4">
        <f>F1094/I1094</f>
        <v>0.1327535785747268</v>
      </c>
      <c r="N1094" s="4">
        <f>I1094/J1094</f>
        <v>1.0026234567901235</v>
      </c>
    </row>
    <row r="1095" spans="1:14" x14ac:dyDescent="0.3">
      <c r="A1095" s="29">
        <v>46113</v>
      </c>
      <c r="B1095" s="8">
        <f>YEAR(A1095)</f>
        <v>2026</v>
      </c>
      <c r="C1095" s="27" t="str">
        <f>TEXT(A1095,"MMMM")</f>
        <v>abril</v>
      </c>
      <c r="D1095" s="30" t="s">
        <v>68</v>
      </c>
      <c r="E1095" s="30" t="s">
        <v>21</v>
      </c>
      <c r="F1095" s="31">
        <v>5.2789351851851851E-2</v>
      </c>
      <c r="G1095" s="31">
        <v>0.45162037037037039</v>
      </c>
      <c r="H1095" s="31">
        <v>0.75124999999999997</v>
      </c>
      <c r="I1095" s="43">
        <f>H1095-G1095</f>
        <v>0.29962962962962958</v>
      </c>
      <c r="J1095" s="43">
        <v>0.3</v>
      </c>
      <c r="K1095" s="2"/>
      <c r="L1095" s="3">
        <f>J1095-I1095</f>
        <v>3.7037037037040976E-4</v>
      </c>
      <c r="M1095" s="4">
        <f>F1095/I1095</f>
        <v>0.17618201483312734</v>
      </c>
      <c r="N1095" s="4">
        <f>I1095/J1095</f>
        <v>0.99876543209876534</v>
      </c>
    </row>
    <row r="1096" spans="1:14" x14ac:dyDescent="0.3">
      <c r="A1096" s="29">
        <v>46113</v>
      </c>
      <c r="B1096" s="8">
        <f>YEAR(A1096)</f>
        <v>2026</v>
      </c>
      <c r="C1096" s="27" t="str">
        <f>TEXT(A1096,"MMMM")</f>
        <v>abril</v>
      </c>
      <c r="D1096" s="30" t="s">
        <v>32</v>
      </c>
      <c r="E1096" s="30" t="s">
        <v>34</v>
      </c>
      <c r="F1096" s="31">
        <v>4.4421296296296299E-2</v>
      </c>
      <c r="G1096" s="31">
        <v>0.43428240740740742</v>
      </c>
      <c r="H1096" s="31">
        <v>0.75042824074074077</v>
      </c>
      <c r="I1096" s="43">
        <f>H1096-G1096</f>
        <v>0.31614583333333335</v>
      </c>
      <c r="J1096" s="43">
        <v>0.3</v>
      </c>
      <c r="K1096" s="2">
        <f>I1096-J1096</f>
        <v>1.6145833333333359E-2</v>
      </c>
      <c r="L1096" s="3"/>
      <c r="M1096" s="4">
        <f>F1096/I1096</f>
        <v>0.14050887790591252</v>
      </c>
      <c r="N1096" s="4">
        <f>I1096/J1096</f>
        <v>1.0538194444444446</v>
      </c>
    </row>
    <row r="1097" spans="1:14" x14ac:dyDescent="0.3">
      <c r="A1097" s="29">
        <v>46113</v>
      </c>
      <c r="B1097" s="8">
        <f>YEAR(A1097)</f>
        <v>2026</v>
      </c>
      <c r="C1097" s="27" t="str">
        <f>TEXT(A1097,"MMMM")</f>
        <v>abril</v>
      </c>
      <c r="D1097" s="30" t="s">
        <v>29</v>
      </c>
      <c r="E1097" s="30" t="s">
        <v>34</v>
      </c>
      <c r="F1097" s="31">
        <v>4.2511574074074077E-2</v>
      </c>
      <c r="G1097" s="31">
        <v>0.40506944444444443</v>
      </c>
      <c r="H1097" s="31">
        <v>0.63479166666666664</v>
      </c>
      <c r="I1097" s="43">
        <f>H1097-G1097</f>
        <v>0.22972222222222222</v>
      </c>
      <c r="J1097" s="43">
        <v>0.3</v>
      </c>
      <c r="K1097" s="2"/>
      <c r="L1097" s="3">
        <f>J1097-I1097</f>
        <v>7.0277777777777772E-2</v>
      </c>
      <c r="M1097" s="4">
        <f>F1097/I1097</f>
        <v>0.18505642885933093</v>
      </c>
      <c r="N1097" s="4">
        <f>I1097/J1097</f>
        <v>0.76574074074074072</v>
      </c>
    </row>
    <row r="1098" spans="1:14" x14ac:dyDescent="0.3">
      <c r="A1098" s="29">
        <v>46114</v>
      </c>
      <c r="B1098" s="8">
        <f>YEAR(A1098)</f>
        <v>2026</v>
      </c>
      <c r="C1098" s="27" t="str">
        <f>TEXT(A1098,"MMMM")</f>
        <v>abril</v>
      </c>
      <c r="D1098" s="30" t="s">
        <v>16</v>
      </c>
      <c r="E1098" s="30" t="s">
        <v>34</v>
      </c>
      <c r="F1098" s="31">
        <v>3.8078703703703705E-2</v>
      </c>
      <c r="G1098" s="31">
        <v>0.33438657407407407</v>
      </c>
      <c r="H1098" s="31">
        <v>0.63408564814814816</v>
      </c>
      <c r="I1098" s="43">
        <f>H1098-G1098</f>
        <v>0.29969907407407409</v>
      </c>
      <c r="J1098" s="43">
        <v>0.3</v>
      </c>
      <c r="K1098" s="2"/>
      <c r="L1098" s="3">
        <f>J1098-I1098</f>
        <v>3.0092592592589895E-4</v>
      </c>
      <c r="M1098" s="4">
        <f>F1098/I1098</f>
        <v>0.12705646095620607</v>
      </c>
      <c r="N1098" s="4">
        <f>I1098/J1098</f>
        <v>0.998996913580247</v>
      </c>
    </row>
    <row r="1099" spans="1:14" x14ac:dyDescent="0.3">
      <c r="A1099" s="29">
        <v>46114</v>
      </c>
      <c r="B1099" s="8">
        <f>YEAR(A1099)</f>
        <v>2026</v>
      </c>
      <c r="C1099" s="27" t="str">
        <f>TEXT(A1099,"MMMM")</f>
        <v>abril</v>
      </c>
      <c r="D1099" s="30" t="s">
        <v>47</v>
      </c>
      <c r="E1099" s="30" t="s">
        <v>34</v>
      </c>
      <c r="F1099" s="31">
        <v>4.7118055555555559E-2</v>
      </c>
      <c r="G1099" s="31">
        <v>0.53</v>
      </c>
      <c r="H1099" s="31">
        <v>0.7503009259259259</v>
      </c>
      <c r="I1099" s="43">
        <f>H1099-G1099</f>
        <v>0.22030092592592587</v>
      </c>
      <c r="J1099" s="43">
        <v>0.25</v>
      </c>
      <c r="K1099" s="2"/>
      <c r="L1099" s="3">
        <f>J1099-I1099</f>
        <v>2.9699074074074128E-2</v>
      </c>
      <c r="M1099" s="4">
        <f>F1099/I1099</f>
        <v>0.21388042450352007</v>
      </c>
      <c r="N1099" s="4">
        <f>I1099/J1099</f>
        <v>0.88120370370370349</v>
      </c>
    </row>
    <row r="1100" spans="1:14" x14ac:dyDescent="0.3">
      <c r="A1100" s="29">
        <v>46114</v>
      </c>
      <c r="B1100" s="8">
        <f>YEAR(A1100)</f>
        <v>2026</v>
      </c>
      <c r="C1100" s="27" t="str">
        <f>TEXT(A1100,"MMMM")</f>
        <v>abril</v>
      </c>
      <c r="D1100" s="30" t="s">
        <v>18</v>
      </c>
      <c r="E1100" s="30" t="s">
        <v>34</v>
      </c>
      <c r="F1100" s="31">
        <v>5.3946759259259257E-2</v>
      </c>
      <c r="G1100" s="31">
        <v>0.33423611111111112</v>
      </c>
      <c r="H1100" s="31">
        <v>0.63606481481481481</v>
      </c>
      <c r="I1100" s="43">
        <f>H1100-G1100</f>
        <v>0.30182870370370368</v>
      </c>
      <c r="J1100" s="43">
        <v>0.3</v>
      </c>
      <c r="K1100" s="2">
        <f>I1100-J1100</f>
        <v>1.8287037037036935E-3</v>
      </c>
      <c r="L1100" s="3"/>
      <c r="M1100" s="4">
        <f>F1100/I1100</f>
        <v>0.17873303167420815</v>
      </c>
      <c r="N1100" s="4">
        <f>I1100/J1100</f>
        <v>1.0060956790123456</v>
      </c>
    </row>
    <row r="1101" spans="1:14" x14ac:dyDescent="0.3">
      <c r="A1101" s="29">
        <v>46114</v>
      </c>
      <c r="B1101" s="8">
        <f>YEAR(A1101)</f>
        <v>2026</v>
      </c>
      <c r="C1101" s="27" t="str">
        <f>TEXT(A1101,"MMMM")</f>
        <v>abril</v>
      </c>
      <c r="D1101" s="30" t="s">
        <v>19</v>
      </c>
      <c r="E1101" s="30" t="s">
        <v>34</v>
      </c>
      <c r="F1101" s="31">
        <v>5.9953703703703703E-2</v>
      </c>
      <c r="G1101" s="31">
        <v>0.35420138888888891</v>
      </c>
      <c r="H1101" s="31">
        <v>0.66688657407407403</v>
      </c>
      <c r="I1101" s="43">
        <f>H1101-G1101</f>
        <v>0.31268518518518512</v>
      </c>
      <c r="J1101" s="43">
        <v>0.3</v>
      </c>
      <c r="K1101" s="2">
        <f>I1101-J1101</f>
        <v>1.2685185185185133E-2</v>
      </c>
      <c r="L1101" s="3"/>
      <c r="M1101" s="4">
        <f>F1101/I1101</f>
        <v>0.19173822919751263</v>
      </c>
      <c r="N1101" s="4">
        <f>I1101/J1101</f>
        <v>1.0422839506172838</v>
      </c>
    </row>
    <row r="1102" spans="1:14" x14ac:dyDescent="0.3">
      <c r="A1102" s="29">
        <v>46114</v>
      </c>
      <c r="B1102" s="8">
        <f>YEAR(A1102)</f>
        <v>2026</v>
      </c>
      <c r="C1102" s="27" t="str">
        <f>TEXT(A1102,"MMMM")</f>
        <v>abril</v>
      </c>
      <c r="D1102" s="30" t="s">
        <v>69</v>
      </c>
      <c r="E1102" s="30" t="s">
        <v>34</v>
      </c>
      <c r="F1102" s="31">
        <v>8.2511574074074071E-2</v>
      </c>
      <c r="G1102" s="31">
        <v>0.33559027777777778</v>
      </c>
      <c r="H1102" s="31">
        <v>0.67530092592592594</v>
      </c>
      <c r="I1102" s="43">
        <f>H1102-G1102</f>
        <v>0.33971064814814816</v>
      </c>
      <c r="J1102" s="43">
        <v>0.3</v>
      </c>
      <c r="K1102" s="2">
        <f>I1102-J1102</f>
        <v>3.9710648148148175E-2</v>
      </c>
      <c r="L1102" s="3"/>
      <c r="M1102" s="4">
        <f>F1102/I1102</f>
        <v>0.24288780620762493</v>
      </c>
      <c r="N1102" s="4">
        <f>I1102/J1102</f>
        <v>1.1323688271604939</v>
      </c>
    </row>
    <row r="1103" spans="1:14" x14ac:dyDescent="0.3">
      <c r="A1103" s="29">
        <v>46114</v>
      </c>
      <c r="B1103" s="8">
        <f>YEAR(A1103)</f>
        <v>2026</v>
      </c>
      <c r="C1103" s="27" t="str">
        <f>TEXT(A1103,"MMMM")</f>
        <v>abril</v>
      </c>
      <c r="D1103" s="30" t="s">
        <v>22</v>
      </c>
      <c r="E1103" s="30" t="s">
        <v>34</v>
      </c>
      <c r="F1103" s="31">
        <v>9.525462962962963E-3</v>
      </c>
      <c r="G1103" s="31">
        <v>0.4349189814814815</v>
      </c>
      <c r="H1103" s="31">
        <v>0.75116898148148148</v>
      </c>
      <c r="I1103" s="43">
        <f>H1103-G1103</f>
        <v>0.31624999999999998</v>
      </c>
      <c r="J1103" s="43">
        <v>0.3</v>
      </c>
      <c r="K1103" s="2">
        <f>I1103-J1103</f>
        <v>1.6249999999999987E-2</v>
      </c>
      <c r="L1103" s="3"/>
      <c r="M1103" s="4">
        <f>F1103/I1103</f>
        <v>3.012004098960621E-2</v>
      </c>
      <c r="N1103" s="4">
        <f>I1103/J1103</f>
        <v>1.0541666666666667</v>
      </c>
    </row>
    <row r="1104" spans="1:14" x14ac:dyDescent="0.3">
      <c r="A1104" s="29">
        <v>46114</v>
      </c>
      <c r="B1104" s="8">
        <f>YEAR(A1104)</f>
        <v>2026</v>
      </c>
      <c r="C1104" s="27" t="str">
        <f>TEXT(A1104,"MMMM")</f>
        <v>abril</v>
      </c>
      <c r="D1104" s="30" t="s">
        <v>33</v>
      </c>
      <c r="E1104" s="30" t="s">
        <v>34</v>
      </c>
      <c r="F1104" s="31">
        <v>5.0381944444444444E-2</v>
      </c>
      <c r="G1104" s="31">
        <v>0.33333333333333331</v>
      </c>
      <c r="H1104" s="31">
        <v>0.63363425925925931</v>
      </c>
      <c r="I1104" s="43">
        <f>H1104-G1104</f>
        <v>0.300300925925926</v>
      </c>
      <c r="J1104" s="43">
        <v>0.3</v>
      </c>
      <c r="K1104" s="2">
        <f>I1104-J1104</f>
        <v>3.0092592592600997E-4</v>
      </c>
      <c r="L1104" s="3"/>
      <c r="M1104" s="4">
        <f>F1104/I1104</f>
        <v>0.16777152547598856</v>
      </c>
      <c r="N1104" s="4">
        <f>I1104/J1104</f>
        <v>1.0010030864197534</v>
      </c>
    </row>
    <row r="1105" spans="1:14" x14ac:dyDescent="0.3">
      <c r="A1105" s="29">
        <v>46114</v>
      </c>
      <c r="B1105" s="8">
        <f>YEAR(A1105)</f>
        <v>2026</v>
      </c>
      <c r="C1105" s="27" t="str">
        <f>TEXT(A1105,"MMMM")</f>
        <v>abril</v>
      </c>
      <c r="D1105" s="30" t="s">
        <v>24</v>
      </c>
      <c r="E1105" s="30" t="s">
        <v>34</v>
      </c>
      <c r="F1105" s="31">
        <v>5.7453703703703701E-2</v>
      </c>
      <c r="G1105" s="31">
        <v>0.44685185185185183</v>
      </c>
      <c r="H1105" s="31">
        <v>0.75199074074074079</v>
      </c>
      <c r="I1105" s="43">
        <f>H1105-G1105</f>
        <v>0.30513888888888896</v>
      </c>
      <c r="J1105" s="43">
        <v>0.3</v>
      </c>
      <c r="K1105" s="2">
        <f>I1105-J1105</f>
        <v>5.1388888888889706E-3</v>
      </c>
      <c r="L1105" s="3"/>
      <c r="M1105" s="4">
        <f>F1105/I1105</f>
        <v>0.18828705810954327</v>
      </c>
      <c r="N1105" s="4">
        <f>I1105/J1105</f>
        <v>1.0171296296296299</v>
      </c>
    </row>
    <row r="1106" spans="1:14" x14ac:dyDescent="0.3">
      <c r="A1106" s="29">
        <v>46114</v>
      </c>
      <c r="B1106" s="8">
        <f>YEAR(A1106)</f>
        <v>2026</v>
      </c>
      <c r="C1106" s="27" t="str">
        <f>TEXT(A1106,"MMMM")</f>
        <v>abril</v>
      </c>
      <c r="D1106" s="30" t="s">
        <v>76</v>
      </c>
      <c r="E1106" s="30" t="s">
        <v>34</v>
      </c>
      <c r="F1106" s="31">
        <v>6.2268518518518515E-3</v>
      </c>
      <c r="G1106" s="31">
        <v>0.45106481481481481</v>
      </c>
      <c r="H1106" s="31">
        <v>0.75</v>
      </c>
      <c r="I1106" s="43">
        <f>H1106-G1106</f>
        <v>0.29893518518518519</v>
      </c>
      <c r="J1106" s="43">
        <v>0.3</v>
      </c>
      <c r="K1106" s="2"/>
      <c r="L1106" s="3">
        <f>J1106-I1106</f>
        <v>1.0648148148147962E-3</v>
      </c>
      <c r="M1106" s="4">
        <f>F1106/I1106</f>
        <v>2.0830106860771254E-2</v>
      </c>
      <c r="N1106" s="4">
        <f>I1106/J1106</f>
        <v>0.99645061728395068</v>
      </c>
    </row>
    <row r="1107" spans="1:14" x14ac:dyDescent="0.3">
      <c r="A1107" s="29">
        <v>46114</v>
      </c>
      <c r="B1107" s="8">
        <f>YEAR(A1107)</f>
        <v>2026</v>
      </c>
      <c r="C1107" s="27" t="str">
        <f>TEXT(A1107,"MMMM")</f>
        <v>abril</v>
      </c>
      <c r="D1107" s="30" t="s">
        <v>77</v>
      </c>
      <c r="E1107" s="30" t="s">
        <v>34</v>
      </c>
      <c r="F1107" s="31">
        <v>4.6851851851851853E-2</v>
      </c>
      <c r="G1107" s="31">
        <v>0.46269675925925924</v>
      </c>
      <c r="H1107" s="31">
        <v>0.75053240740740745</v>
      </c>
      <c r="I1107" s="43">
        <f>H1107-G1107</f>
        <v>0.28783564814814822</v>
      </c>
      <c r="J1107" s="43">
        <v>0.3</v>
      </c>
      <c r="K1107" s="2"/>
      <c r="L1107" s="3">
        <f>J1107-I1107</f>
        <v>1.2164351851851773E-2</v>
      </c>
      <c r="M1107" s="4">
        <f>F1107/I1107</f>
        <v>0.16277293015400696</v>
      </c>
      <c r="N1107" s="4">
        <f>I1107/J1107</f>
        <v>0.95945216049382742</v>
      </c>
    </row>
    <row r="1108" spans="1:14" x14ac:dyDescent="0.3">
      <c r="A1108" s="29">
        <v>46114</v>
      </c>
      <c r="B1108" s="8">
        <f>YEAR(A1108)</f>
        <v>2026</v>
      </c>
      <c r="C1108" s="27" t="str">
        <f>TEXT(A1108,"MMMM")</f>
        <v>abril</v>
      </c>
      <c r="D1108" s="30" t="s">
        <v>25</v>
      </c>
      <c r="E1108" s="30" t="s">
        <v>21</v>
      </c>
      <c r="F1108" s="31">
        <v>7.3229166666666665E-2</v>
      </c>
      <c r="G1108" s="31">
        <v>0.33333333333333331</v>
      </c>
      <c r="H1108" s="31">
        <v>0.65491898148148153</v>
      </c>
      <c r="I1108" s="43">
        <f>H1108-G1108</f>
        <v>0.32158564814814822</v>
      </c>
      <c r="J1108" s="43">
        <v>0.3</v>
      </c>
      <c r="K1108" s="2">
        <f>I1108-J1108</f>
        <v>2.1585648148148229E-2</v>
      </c>
      <c r="L1108" s="3"/>
      <c r="M1108" s="4">
        <f>F1108/I1108</f>
        <v>0.22771279467338487</v>
      </c>
      <c r="N1108" s="4">
        <f>I1108/J1108</f>
        <v>1.0719521604938274</v>
      </c>
    </row>
    <row r="1109" spans="1:14" x14ac:dyDescent="0.3">
      <c r="A1109" s="29">
        <v>46114</v>
      </c>
      <c r="B1109" s="8">
        <f>YEAR(A1109)</f>
        <v>2026</v>
      </c>
      <c r="C1109" s="27" t="str">
        <f>TEXT(A1109,"MMMM")</f>
        <v>abril</v>
      </c>
      <c r="D1109" s="30" t="s">
        <v>26</v>
      </c>
      <c r="E1109" s="30" t="s">
        <v>15</v>
      </c>
      <c r="F1109" s="31">
        <v>4.5671296296296293E-2</v>
      </c>
      <c r="G1109" s="31">
        <v>0.33341435185185186</v>
      </c>
      <c r="H1109" s="31">
        <v>0.63513888888888892</v>
      </c>
      <c r="I1109" s="43">
        <f>H1109-G1109</f>
        <v>0.30172453703703705</v>
      </c>
      <c r="J1109" s="43">
        <v>0.3</v>
      </c>
      <c r="K1109" s="2">
        <f>I1109-J1109</f>
        <v>1.7245370370370661E-3</v>
      </c>
      <c r="L1109" s="3"/>
      <c r="M1109" s="4">
        <f>F1109/I1109</f>
        <v>0.1513675246461314</v>
      </c>
      <c r="N1109" s="4">
        <f>I1109/J1109</f>
        <v>1.0057484567901236</v>
      </c>
    </row>
    <row r="1110" spans="1:14" x14ac:dyDescent="0.3">
      <c r="A1110" s="29">
        <v>46114</v>
      </c>
      <c r="B1110" s="8">
        <f>YEAR(A1110)</f>
        <v>2026</v>
      </c>
      <c r="C1110" s="27" t="str">
        <f>TEXT(A1110,"MMMM")</f>
        <v>abril</v>
      </c>
      <c r="D1110" s="30" t="s">
        <v>68</v>
      </c>
      <c r="E1110" s="30" t="s">
        <v>21</v>
      </c>
      <c r="F1110" s="31">
        <v>3.2442129629629626E-2</v>
      </c>
      <c r="G1110" s="31">
        <v>0.48</v>
      </c>
      <c r="H1110" s="31">
        <v>0.75047453703703704</v>
      </c>
      <c r="I1110" s="43">
        <f>H1110-G1110</f>
        <v>0.27047453703703705</v>
      </c>
      <c r="J1110" s="43">
        <v>0.3</v>
      </c>
      <c r="K1110" s="2"/>
      <c r="L1110" s="3">
        <f>J1110-I1110</f>
        <v>2.9525462962962934E-2</v>
      </c>
      <c r="M1110" s="4">
        <f>F1110/I1110</f>
        <v>0.1199452265822243</v>
      </c>
      <c r="N1110" s="4">
        <f>I1110/J1110</f>
        <v>0.90158179012345685</v>
      </c>
    </row>
    <row r="1111" spans="1:14" x14ac:dyDescent="0.3">
      <c r="A1111" s="29">
        <v>46114</v>
      </c>
      <c r="B1111" s="8">
        <f>YEAR(A1111)</f>
        <v>2026</v>
      </c>
      <c r="C1111" s="27" t="str">
        <f>TEXT(A1111,"MMMM")</f>
        <v>abril</v>
      </c>
      <c r="D1111" s="30" t="s">
        <v>32</v>
      </c>
      <c r="E1111" s="30" t="s">
        <v>34</v>
      </c>
      <c r="F1111" s="31">
        <v>5.8969907407407408E-2</v>
      </c>
      <c r="G1111" s="31">
        <v>0.45296296296296296</v>
      </c>
      <c r="H1111" s="31">
        <v>0.75047453703703704</v>
      </c>
      <c r="I1111" s="43">
        <f>H1111-G1111</f>
        <v>0.29751157407407408</v>
      </c>
      <c r="J1111" s="43">
        <v>0.3</v>
      </c>
      <c r="K1111" s="2"/>
      <c r="L1111" s="3">
        <f>J1111-I1111</f>
        <v>2.4884259259259078E-3</v>
      </c>
      <c r="M1111" s="4">
        <f>F1111/I1111</f>
        <v>0.19821046489009919</v>
      </c>
      <c r="N1111" s="4">
        <f>I1111/J1111</f>
        <v>0.99170524691358031</v>
      </c>
    </row>
    <row r="1112" spans="1:14" x14ac:dyDescent="0.3">
      <c r="A1112" s="29">
        <v>46114</v>
      </c>
      <c r="B1112" s="8">
        <f>YEAR(A1112)</f>
        <v>2026</v>
      </c>
      <c r="C1112" s="27" t="str">
        <f>TEXT(A1112,"MMMM")</f>
        <v>abril</v>
      </c>
      <c r="D1112" s="30" t="s">
        <v>29</v>
      </c>
      <c r="E1112" s="30" t="s">
        <v>34</v>
      </c>
      <c r="F1112" s="31">
        <v>6.6736111111111107E-2</v>
      </c>
      <c r="G1112" s="31">
        <v>0.33256944444444442</v>
      </c>
      <c r="H1112" s="31">
        <v>0.63489583333333333</v>
      </c>
      <c r="I1112" s="43">
        <f>H1112-G1112</f>
        <v>0.30232638888888891</v>
      </c>
      <c r="J1112" s="43">
        <v>0.3</v>
      </c>
      <c r="K1112" s="2">
        <f>I1112-J1112</f>
        <v>2.3263888888889195E-3</v>
      </c>
      <c r="L1112" s="3"/>
      <c r="M1112" s="4">
        <f>F1112/I1112</f>
        <v>0.22074193177902834</v>
      </c>
      <c r="N1112" s="4">
        <f>I1112/J1112</f>
        <v>1.0077546296296298</v>
      </c>
    </row>
    <row r="1113" spans="1:14" x14ac:dyDescent="0.3">
      <c r="A1113" s="29">
        <v>46118</v>
      </c>
      <c r="B1113" s="8">
        <f>YEAR(A1113)</f>
        <v>2026</v>
      </c>
      <c r="C1113" s="27" t="str">
        <f>TEXT(A1113,"MMMM")</f>
        <v>abril</v>
      </c>
      <c r="D1113" s="30" t="s">
        <v>16</v>
      </c>
      <c r="E1113" s="30" t="s">
        <v>34</v>
      </c>
      <c r="F1113" s="31">
        <v>4.1284722222222223E-2</v>
      </c>
      <c r="G1113" s="31">
        <v>0.33373842592592595</v>
      </c>
      <c r="H1113" s="31">
        <v>0.64192129629629635</v>
      </c>
      <c r="I1113" s="43">
        <f>H1113-G1113</f>
        <v>0.3081828703703704</v>
      </c>
      <c r="J1113" s="43">
        <v>0.3</v>
      </c>
      <c r="K1113" s="2">
        <f>I1113-J1113</f>
        <v>8.1828703703704098E-3</v>
      </c>
      <c r="L1113" s="3"/>
      <c r="M1113" s="4">
        <f>F1113/I1113</f>
        <v>0.1339617681300935</v>
      </c>
      <c r="N1113" s="4">
        <f>I1113/J1113</f>
        <v>1.0272762345679014</v>
      </c>
    </row>
    <row r="1114" spans="1:14" x14ac:dyDescent="0.3">
      <c r="A1114" s="29">
        <v>46118</v>
      </c>
      <c r="B1114" s="8">
        <f>YEAR(A1114)</f>
        <v>2026</v>
      </c>
      <c r="C1114" s="27" t="str">
        <f>TEXT(A1114,"MMMM")</f>
        <v>abril</v>
      </c>
      <c r="D1114" s="30" t="s">
        <v>47</v>
      </c>
      <c r="E1114" s="30" t="s">
        <v>34</v>
      </c>
      <c r="F1114" s="31">
        <v>5.4837962962962963E-2</v>
      </c>
      <c r="G1114" s="31">
        <v>0.51151620370370365</v>
      </c>
      <c r="H1114" s="31">
        <v>0.7503009259259259</v>
      </c>
      <c r="I1114" s="43">
        <f>H1114-G1114</f>
        <v>0.23878472222222225</v>
      </c>
      <c r="J1114" s="43">
        <v>0.25</v>
      </c>
      <c r="K1114" s="2"/>
      <c r="L1114" s="3">
        <f>J1114-I1114</f>
        <v>1.1215277777777755E-2</v>
      </c>
      <c r="M1114" s="4">
        <f>F1114/I1114</f>
        <v>0.22965440356744701</v>
      </c>
      <c r="N1114" s="4">
        <f>I1114/J1114</f>
        <v>0.95513888888888898</v>
      </c>
    </row>
    <row r="1115" spans="1:14" x14ac:dyDescent="0.3">
      <c r="A1115" s="29">
        <v>46118</v>
      </c>
      <c r="B1115" s="8">
        <f>YEAR(A1115)</f>
        <v>2026</v>
      </c>
      <c r="C1115" s="27" t="str">
        <f>TEXT(A1115,"MMMM")</f>
        <v>abril</v>
      </c>
      <c r="D1115" s="30" t="s">
        <v>19</v>
      </c>
      <c r="E1115" s="30" t="s">
        <v>34</v>
      </c>
      <c r="F1115" s="31">
        <v>4.1203703703703701E-2</v>
      </c>
      <c r="G1115" s="31">
        <v>0.33598379629629632</v>
      </c>
      <c r="H1115" s="31">
        <v>0.63342592592592595</v>
      </c>
      <c r="I1115" s="43">
        <f>H1115-G1115</f>
        <v>0.29744212962962963</v>
      </c>
      <c r="J1115" s="43">
        <v>0.3</v>
      </c>
      <c r="K1115" s="2"/>
      <c r="L1115" s="3">
        <f>J1115-I1115</f>
        <v>2.5578703703703631E-3</v>
      </c>
      <c r="M1115" s="4">
        <f>F1115/I1115</f>
        <v>0.13852679092571696</v>
      </c>
      <c r="N1115" s="4">
        <f>I1115/J1115</f>
        <v>0.99147376543209875</v>
      </c>
    </row>
    <row r="1116" spans="1:14" x14ac:dyDescent="0.3">
      <c r="A1116" s="29">
        <v>46118</v>
      </c>
      <c r="B1116" s="8">
        <f>YEAR(A1116)</f>
        <v>2026</v>
      </c>
      <c r="C1116" s="27" t="str">
        <f>TEXT(A1116,"MMMM")</f>
        <v>abril</v>
      </c>
      <c r="D1116" s="30" t="s">
        <v>69</v>
      </c>
      <c r="E1116" s="30" t="s">
        <v>34</v>
      </c>
      <c r="F1116" s="31">
        <v>4.8819444444444443E-2</v>
      </c>
      <c r="G1116" s="31">
        <v>0.33697916666666666</v>
      </c>
      <c r="H1116" s="31">
        <v>0.69702546296296297</v>
      </c>
      <c r="I1116" s="43">
        <f>H1116-G1116</f>
        <v>0.36004629629629631</v>
      </c>
      <c r="J1116" s="43">
        <v>0.3</v>
      </c>
      <c r="K1116" s="2">
        <f>I1116-J1116</f>
        <v>6.004629629629632E-2</v>
      </c>
      <c r="L1116" s="3"/>
      <c r="M1116" s="4">
        <f>F1116/I1116</f>
        <v>0.13559213064163558</v>
      </c>
      <c r="N1116" s="4">
        <f>I1116/J1116</f>
        <v>1.2001543209876544</v>
      </c>
    </row>
    <row r="1117" spans="1:14" x14ac:dyDescent="0.3">
      <c r="A1117" s="29">
        <v>46118</v>
      </c>
      <c r="B1117" s="8">
        <f>YEAR(A1117)</f>
        <v>2026</v>
      </c>
      <c r="C1117" s="27" t="str">
        <f>TEXT(A1117,"MMMM")</f>
        <v>abril</v>
      </c>
      <c r="D1117" s="30" t="s">
        <v>22</v>
      </c>
      <c r="E1117" s="30" t="s">
        <v>34</v>
      </c>
      <c r="F1117" s="31">
        <v>2.75E-2</v>
      </c>
      <c r="G1117" s="31">
        <v>0.39782407407407405</v>
      </c>
      <c r="H1117" s="31">
        <v>0.7510648148148148</v>
      </c>
      <c r="I1117" s="43">
        <f>H1117-G1117</f>
        <v>0.35324074074074074</v>
      </c>
      <c r="J1117" s="43">
        <v>0.3</v>
      </c>
      <c r="K1117" s="2">
        <f>I1117-J1117</f>
        <v>5.3240740740740755E-2</v>
      </c>
      <c r="L1117" s="3"/>
      <c r="M1117" s="4">
        <f>F1117/I1117</f>
        <v>7.7850589777195278E-2</v>
      </c>
      <c r="N1117" s="4">
        <f>I1117/J1117</f>
        <v>1.1774691358024691</v>
      </c>
    </row>
    <row r="1118" spans="1:14" x14ac:dyDescent="0.3">
      <c r="A1118" s="29">
        <v>46118</v>
      </c>
      <c r="B1118" s="8">
        <f>YEAR(A1118)</f>
        <v>2026</v>
      </c>
      <c r="C1118" s="27" t="str">
        <f>TEXT(A1118,"MMMM")</f>
        <v>abril</v>
      </c>
      <c r="D1118" s="30" t="s">
        <v>33</v>
      </c>
      <c r="E1118" s="30" t="s">
        <v>34</v>
      </c>
      <c r="F1118" s="31">
        <v>3.7534722222222219E-2</v>
      </c>
      <c r="G1118" s="31">
        <v>0.33333333333333331</v>
      </c>
      <c r="H1118" s="31">
        <v>0.66653935185185187</v>
      </c>
      <c r="I1118" s="43">
        <f>H1118-G1118</f>
        <v>0.33320601851851855</v>
      </c>
      <c r="J1118" s="43">
        <v>0.3</v>
      </c>
      <c r="K1118" s="2">
        <f>I1118-J1118</f>
        <v>3.3206018518518565E-2</v>
      </c>
      <c r="L1118" s="3"/>
      <c r="M1118" s="4">
        <f>F1118/I1118</f>
        <v>0.11264719163569417</v>
      </c>
      <c r="N1118" s="4">
        <f>I1118/J1118</f>
        <v>1.1106867283950619</v>
      </c>
    </row>
    <row r="1119" spans="1:14" x14ac:dyDescent="0.3">
      <c r="A1119" s="29">
        <v>46118</v>
      </c>
      <c r="B1119" s="8">
        <f>YEAR(A1119)</f>
        <v>2026</v>
      </c>
      <c r="C1119" s="27" t="str">
        <f>TEXT(A1119,"MMMM")</f>
        <v>abril</v>
      </c>
      <c r="D1119" s="30" t="s">
        <v>24</v>
      </c>
      <c r="E1119" s="30" t="s">
        <v>34</v>
      </c>
      <c r="F1119" s="31">
        <v>4.1435185185185186E-2</v>
      </c>
      <c r="G1119" s="31">
        <v>0.33449074074074076</v>
      </c>
      <c r="H1119" s="31">
        <v>0.63644675925925931</v>
      </c>
      <c r="I1119" s="43">
        <f>H1119-G1119</f>
        <v>0.30195601851851855</v>
      </c>
      <c r="J1119" s="43">
        <v>0.3</v>
      </c>
      <c r="K1119" s="2">
        <f>I1119-J1119</f>
        <v>1.9560185185185652E-3</v>
      </c>
      <c r="L1119" s="3"/>
      <c r="M1119" s="4">
        <f>F1119/I1119</f>
        <v>0.13722258423090189</v>
      </c>
      <c r="N1119" s="4">
        <f>I1119/J1119</f>
        <v>1.0065200617283951</v>
      </c>
    </row>
    <row r="1120" spans="1:14" x14ac:dyDescent="0.3">
      <c r="A1120" s="29">
        <v>46118</v>
      </c>
      <c r="B1120" s="8">
        <f>YEAR(A1120)</f>
        <v>2026</v>
      </c>
      <c r="C1120" s="27" t="str">
        <f>TEXT(A1120,"MMMM")</f>
        <v>abril</v>
      </c>
      <c r="D1120" s="30" t="s">
        <v>76</v>
      </c>
      <c r="E1120" s="30" t="s">
        <v>34</v>
      </c>
      <c r="F1120" s="31">
        <v>3.2175925925925927E-2</v>
      </c>
      <c r="G1120" s="31">
        <v>0.4523611111111111</v>
      </c>
      <c r="H1120" s="31">
        <v>0.755</v>
      </c>
      <c r="I1120" s="43">
        <f>H1120-G1120</f>
        <v>0.3026388888888889</v>
      </c>
      <c r="J1120" s="43">
        <v>0.3</v>
      </c>
      <c r="K1120" s="2">
        <f>I1120-J1120</f>
        <v>2.6388888888889128E-3</v>
      </c>
      <c r="L1120" s="3"/>
      <c r="M1120" s="4">
        <f>F1120/I1120</f>
        <v>0.10631788282086584</v>
      </c>
      <c r="N1120" s="4">
        <f>I1120/J1120</f>
        <v>1.0087962962962964</v>
      </c>
    </row>
    <row r="1121" spans="1:14" x14ac:dyDescent="0.3">
      <c r="A1121" s="29">
        <v>46118</v>
      </c>
      <c r="B1121" s="8">
        <f>YEAR(A1121)</f>
        <v>2026</v>
      </c>
      <c r="C1121" s="27" t="str">
        <f>TEXT(A1121,"MMMM")</f>
        <v>abril</v>
      </c>
      <c r="D1121" s="30" t="s">
        <v>77</v>
      </c>
      <c r="E1121" s="30" t="s">
        <v>34</v>
      </c>
      <c r="F1121" s="31">
        <v>3.1319444444444441E-2</v>
      </c>
      <c r="G1121" s="31">
        <v>0.44981481481481483</v>
      </c>
      <c r="H1121" s="31">
        <v>0.75015046296296295</v>
      </c>
      <c r="I1121" s="43">
        <f>H1121-G1121</f>
        <v>0.30033564814814812</v>
      </c>
      <c r="J1121" s="43">
        <v>0.3</v>
      </c>
      <c r="K1121" s="2">
        <f>I1121-J1121</f>
        <v>3.356481481481266E-4</v>
      </c>
      <c r="L1121" s="3"/>
      <c r="M1121" s="4">
        <f>F1121/I1121</f>
        <v>0.10428147520135651</v>
      </c>
      <c r="N1121" s="4">
        <f>I1121/J1121</f>
        <v>1.0011188271604938</v>
      </c>
    </row>
    <row r="1122" spans="1:14" x14ac:dyDescent="0.3">
      <c r="A1122" s="29">
        <v>46118</v>
      </c>
      <c r="B1122" s="8">
        <f>YEAR(A1122)</f>
        <v>2026</v>
      </c>
      <c r="C1122" s="27" t="str">
        <f>TEXT(A1122,"MMMM")</f>
        <v>abril</v>
      </c>
      <c r="D1122" s="30" t="s">
        <v>25</v>
      </c>
      <c r="E1122" s="30" t="s">
        <v>21</v>
      </c>
      <c r="F1122" s="31">
        <v>4.4282407407407409E-2</v>
      </c>
      <c r="G1122" s="31">
        <v>0.33333333333333331</v>
      </c>
      <c r="H1122" s="31">
        <v>0.67706018518518518</v>
      </c>
      <c r="I1122" s="43">
        <f>H1122-G1122</f>
        <v>0.34372685185185187</v>
      </c>
      <c r="J1122" s="43">
        <v>0.3</v>
      </c>
      <c r="K1122" s="2">
        <f>I1122-J1122</f>
        <v>4.3726851851851878E-2</v>
      </c>
      <c r="L1122" s="3"/>
      <c r="M1122" s="4">
        <f>F1122/I1122</f>
        <v>0.12883022425752577</v>
      </c>
      <c r="N1122" s="4">
        <f>I1122/J1122</f>
        <v>1.1457561728395063</v>
      </c>
    </row>
    <row r="1123" spans="1:14" x14ac:dyDescent="0.3">
      <c r="A1123" s="29">
        <v>46118</v>
      </c>
      <c r="B1123" s="8">
        <f>YEAR(A1123)</f>
        <v>2026</v>
      </c>
      <c r="C1123" s="27" t="str">
        <f>TEXT(A1123,"MMMM")</f>
        <v>abril</v>
      </c>
      <c r="D1123" s="30" t="s">
        <v>26</v>
      </c>
      <c r="E1123" s="30" t="s">
        <v>15</v>
      </c>
      <c r="F1123" s="31">
        <v>3.5937499999999997E-2</v>
      </c>
      <c r="G1123" s="31">
        <v>0.33891203703703704</v>
      </c>
      <c r="H1123" s="31">
        <v>0.67547453703703708</v>
      </c>
      <c r="I1123" s="43">
        <f>H1123-G1123</f>
        <v>0.33656250000000004</v>
      </c>
      <c r="J1123" s="43">
        <v>0.3</v>
      </c>
      <c r="K1123" s="2">
        <f>I1123-J1123</f>
        <v>3.6562500000000053E-2</v>
      </c>
      <c r="L1123" s="3"/>
      <c r="M1123" s="4">
        <f>F1123/I1123</f>
        <v>0.10677808727948002</v>
      </c>
      <c r="N1123" s="4">
        <f>I1123/J1123</f>
        <v>1.1218750000000002</v>
      </c>
    </row>
    <row r="1124" spans="1:14" x14ac:dyDescent="0.3">
      <c r="A1124" s="29">
        <v>46118</v>
      </c>
      <c r="B1124" s="8">
        <f>YEAR(A1124)</f>
        <v>2026</v>
      </c>
      <c r="C1124" s="27" t="str">
        <f>TEXT(A1124,"MMMM")</f>
        <v>abril</v>
      </c>
      <c r="D1124" s="30" t="s">
        <v>27</v>
      </c>
      <c r="E1124" s="30" t="s">
        <v>34</v>
      </c>
      <c r="F1124" s="31">
        <v>3.2858796296296296E-2</v>
      </c>
      <c r="G1124" s="31">
        <v>0.33364583333333331</v>
      </c>
      <c r="H1124" s="31">
        <v>0.65587962962962965</v>
      </c>
      <c r="I1124" s="43">
        <f>H1124-G1124</f>
        <v>0.32223379629629634</v>
      </c>
      <c r="J1124" s="43">
        <v>0.3</v>
      </c>
      <c r="K1124" s="2">
        <f>I1124-J1124</f>
        <v>2.2233796296296349E-2</v>
      </c>
      <c r="L1124" s="3"/>
      <c r="M1124" s="4">
        <f>F1124/I1124</f>
        <v>0.10197191192845083</v>
      </c>
      <c r="N1124" s="4">
        <f>I1124/J1124</f>
        <v>1.0741126543209878</v>
      </c>
    </row>
    <row r="1125" spans="1:14" x14ac:dyDescent="0.3">
      <c r="A1125" s="29">
        <v>46118</v>
      </c>
      <c r="B1125" s="8">
        <f>YEAR(A1125)</f>
        <v>2026</v>
      </c>
      <c r="C1125" s="27" t="str">
        <f>TEXT(A1125,"MMMM")</f>
        <v>abril</v>
      </c>
      <c r="D1125" s="30" t="s">
        <v>68</v>
      </c>
      <c r="E1125" s="30" t="s">
        <v>21</v>
      </c>
      <c r="F1125" s="31">
        <v>0</v>
      </c>
      <c r="G1125" s="31">
        <v>0.44791666666666669</v>
      </c>
      <c r="H1125" s="31">
        <v>0.75025462962962963</v>
      </c>
      <c r="I1125" s="43">
        <f>H1125-G1125</f>
        <v>0.30233796296296295</v>
      </c>
      <c r="J1125" s="43">
        <v>0.3</v>
      </c>
      <c r="K1125" s="2">
        <f>I1125-J1125</f>
        <v>2.3379629629629584E-3</v>
      </c>
      <c r="L1125" s="3"/>
      <c r="M1125" s="4">
        <f>F1125/I1125</f>
        <v>0</v>
      </c>
      <c r="N1125" s="4">
        <f>I1125/J1125</f>
        <v>1.0077932098765432</v>
      </c>
    </row>
    <row r="1126" spans="1:14" x14ac:dyDescent="0.3">
      <c r="A1126" s="29">
        <v>46118</v>
      </c>
      <c r="B1126" s="8">
        <f>YEAR(A1126)</f>
        <v>2026</v>
      </c>
      <c r="C1126" s="27" t="str">
        <f>TEXT(A1126,"MMMM")</f>
        <v>abril</v>
      </c>
      <c r="D1126" s="30" t="s">
        <v>32</v>
      </c>
      <c r="E1126" s="30" t="s">
        <v>34</v>
      </c>
      <c r="F1126" s="31">
        <v>4.8622685185185185E-2</v>
      </c>
      <c r="G1126" s="31">
        <v>0.42658564814814814</v>
      </c>
      <c r="H1126" s="31">
        <v>0.75013888888888891</v>
      </c>
      <c r="I1126" s="43">
        <f>H1126-G1126</f>
        <v>0.32355324074074077</v>
      </c>
      <c r="J1126" s="43">
        <v>0.3</v>
      </c>
      <c r="K1126" s="2">
        <f>I1126-J1126</f>
        <v>2.3553240740740777E-2</v>
      </c>
      <c r="L1126" s="3"/>
      <c r="M1126" s="4">
        <f>F1126/I1126</f>
        <v>0.15027723126453227</v>
      </c>
      <c r="N1126" s="4">
        <f>I1126/J1126</f>
        <v>1.0785108024691359</v>
      </c>
    </row>
    <row r="1127" spans="1:14" x14ac:dyDescent="0.3">
      <c r="A1127" s="29">
        <v>46118</v>
      </c>
      <c r="B1127" s="8">
        <f>YEAR(A1127)</f>
        <v>2026</v>
      </c>
      <c r="C1127" s="27" t="str">
        <f>TEXT(A1127,"MMMM")</f>
        <v>abril</v>
      </c>
      <c r="D1127" s="30" t="s">
        <v>29</v>
      </c>
      <c r="E1127" s="30" t="s">
        <v>34</v>
      </c>
      <c r="F1127" s="31">
        <v>6.519675925925926E-2</v>
      </c>
      <c r="G1127" s="31">
        <v>0.34013888888888888</v>
      </c>
      <c r="H1127" s="31">
        <v>0.66126157407407404</v>
      </c>
      <c r="I1127" s="43">
        <f>H1127-G1127</f>
        <v>0.32112268518518516</v>
      </c>
      <c r="J1127" s="43">
        <v>0.3</v>
      </c>
      <c r="K1127" s="2">
        <f>I1127-J1127</f>
        <v>2.1122685185185175E-2</v>
      </c>
      <c r="L1127" s="3"/>
      <c r="M1127" s="4">
        <f>F1127/I1127</f>
        <v>0.203027572535592</v>
      </c>
      <c r="N1127" s="4">
        <f>I1127/J1127</f>
        <v>1.070408950617284</v>
      </c>
    </row>
    <row r="1128" spans="1:14" x14ac:dyDescent="0.3">
      <c r="A1128" s="29">
        <v>46119</v>
      </c>
      <c r="B1128" s="8">
        <f>YEAR(A1128)</f>
        <v>2026</v>
      </c>
      <c r="C1128" s="27" t="str">
        <f>TEXT(A1128,"MMMM")</f>
        <v>abril</v>
      </c>
      <c r="D1128" s="30" t="s">
        <v>16</v>
      </c>
      <c r="E1128" s="30" t="s">
        <v>34</v>
      </c>
      <c r="F1128" s="31">
        <v>5.0462962962962966E-2</v>
      </c>
      <c r="G1128" s="31">
        <v>0.33333333333333331</v>
      </c>
      <c r="H1128" s="31">
        <v>0.71667824074074071</v>
      </c>
      <c r="I1128" s="43">
        <f>H1128-G1128</f>
        <v>0.3833449074074074</v>
      </c>
      <c r="J1128" s="43">
        <v>0.3</v>
      </c>
      <c r="K1128" s="2">
        <f>I1128-J1128</f>
        <v>8.3344907407407409E-2</v>
      </c>
      <c r="L1128" s="3"/>
      <c r="M1128" s="4">
        <f>F1128/I1128</f>
        <v>0.13163853748377163</v>
      </c>
      <c r="N1128" s="4">
        <f>I1128/J1128</f>
        <v>1.2778163580246913</v>
      </c>
    </row>
    <row r="1129" spans="1:14" x14ac:dyDescent="0.3">
      <c r="A1129" s="29">
        <v>46119</v>
      </c>
      <c r="B1129" s="8">
        <f>YEAR(A1129)</f>
        <v>2026</v>
      </c>
      <c r="C1129" s="27" t="str">
        <f>TEXT(A1129,"MMMM")</f>
        <v>abril</v>
      </c>
      <c r="D1129" s="30" t="s">
        <v>47</v>
      </c>
      <c r="E1129" s="30" t="s">
        <v>34</v>
      </c>
      <c r="F1129" s="31">
        <v>3.8449074074074073E-2</v>
      </c>
      <c r="G1129" s="31">
        <v>0.51960648148148147</v>
      </c>
      <c r="H1129" s="31">
        <v>0.75129629629629635</v>
      </c>
      <c r="I1129" s="43">
        <f>H1129-G1129</f>
        <v>0.23168981481481488</v>
      </c>
      <c r="J1129" s="43">
        <v>0.25</v>
      </c>
      <c r="K1129" s="2"/>
      <c r="L1129" s="3">
        <f>J1129-I1129</f>
        <v>1.8310185185185124E-2</v>
      </c>
      <c r="M1129" s="4">
        <f>F1129/I1129</f>
        <v>0.16595064442002194</v>
      </c>
      <c r="N1129" s="4">
        <f>I1129/J1129</f>
        <v>0.9267592592592595</v>
      </c>
    </row>
    <row r="1130" spans="1:14" x14ac:dyDescent="0.3">
      <c r="A1130" s="29">
        <v>46119</v>
      </c>
      <c r="B1130" s="8">
        <f>YEAR(A1130)</f>
        <v>2026</v>
      </c>
      <c r="C1130" s="27" t="str">
        <f>TEXT(A1130,"MMMM")</f>
        <v>abril</v>
      </c>
      <c r="D1130" s="30" t="s">
        <v>19</v>
      </c>
      <c r="E1130" s="30" t="s">
        <v>34</v>
      </c>
      <c r="F1130" s="31">
        <v>4.971064814814815E-2</v>
      </c>
      <c r="G1130" s="31">
        <v>0.33609953703703704</v>
      </c>
      <c r="H1130" s="31">
        <v>0.63472222222222219</v>
      </c>
      <c r="I1130" s="43">
        <f>H1130-G1130</f>
        <v>0.29862268518518514</v>
      </c>
      <c r="J1130" s="43">
        <v>0.3</v>
      </c>
      <c r="K1130" s="2"/>
      <c r="L1130" s="3">
        <f>J1130-I1130</f>
        <v>1.3773148148148451E-3</v>
      </c>
      <c r="M1130" s="4">
        <f>F1130/I1130</f>
        <v>0.16646641603038645</v>
      </c>
      <c r="N1130" s="4">
        <f>I1130/J1130</f>
        <v>0.99540895061728385</v>
      </c>
    </row>
    <row r="1131" spans="1:14" x14ac:dyDescent="0.3">
      <c r="A1131" s="29">
        <v>46119</v>
      </c>
      <c r="B1131" s="8">
        <f>YEAR(A1131)</f>
        <v>2026</v>
      </c>
      <c r="C1131" s="27" t="str">
        <f>TEXT(A1131,"MMMM")</f>
        <v>abril</v>
      </c>
      <c r="D1131" s="30" t="s">
        <v>69</v>
      </c>
      <c r="E1131" s="30" t="s">
        <v>34</v>
      </c>
      <c r="F1131" s="31">
        <v>1.2986111111111111E-2</v>
      </c>
      <c r="G1131" s="31">
        <v>0.33818287037037037</v>
      </c>
      <c r="H1131" s="31">
        <v>0.65446759259259257</v>
      </c>
      <c r="I1131" s="43">
        <f>H1131-G1131</f>
        <v>0.3162847222222222</v>
      </c>
      <c r="J1131" s="43">
        <v>0.3</v>
      </c>
      <c r="K1131" s="2">
        <f>I1131-J1131</f>
        <v>1.6284722222222214E-2</v>
      </c>
      <c r="L1131" s="3"/>
      <c r="M1131" s="4">
        <f>F1131/I1131</f>
        <v>4.1058293994950056E-2</v>
      </c>
      <c r="N1131" s="4">
        <f>I1131/J1131</f>
        <v>1.0542824074074073</v>
      </c>
    </row>
    <row r="1132" spans="1:14" x14ac:dyDescent="0.3">
      <c r="A1132" s="29">
        <v>46119</v>
      </c>
      <c r="B1132" s="8">
        <f>YEAR(A1132)</f>
        <v>2026</v>
      </c>
      <c r="C1132" s="27" t="str">
        <f>TEXT(A1132,"MMMM")</f>
        <v>abril</v>
      </c>
      <c r="D1132" s="30" t="s">
        <v>22</v>
      </c>
      <c r="E1132" s="30" t="s">
        <v>34</v>
      </c>
      <c r="F1132" s="31">
        <v>3.6481481481481483E-2</v>
      </c>
      <c r="G1132" s="31">
        <v>0.44896990740740739</v>
      </c>
      <c r="H1132" s="31">
        <v>0.75548611111111108</v>
      </c>
      <c r="I1132" s="43">
        <f>H1132-G1132</f>
        <v>0.30651620370370369</v>
      </c>
      <c r="J1132" s="43">
        <v>0.3</v>
      </c>
      <c r="K1132" s="2">
        <f>I1132-J1132</f>
        <v>6.5162037037037046E-3</v>
      </c>
      <c r="L1132" s="3"/>
      <c r="M1132" s="4">
        <f>F1132/I1132</f>
        <v>0.11901974851791716</v>
      </c>
      <c r="N1132" s="4">
        <f>I1132/J1132</f>
        <v>1.0217206790123456</v>
      </c>
    </row>
    <row r="1133" spans="1:14" x14ac:dyDescent="0.3">
      <c r="A1133" s="29">
        <v>46119</v>
      </c>
      <c r="B1133" s="8">
        <f>YEAR(A1133)</f>
        <v>2026</v>
      </c>
      <c r="C1133" s="27" t="str">
        <f>TEXT(A1133,"MMMM")</f>
        <v>abril</v>
      </c>
      <c r="D1133" s="30" t="s">
        <v>33</v>
      </c>
      <c r="E1133" s="30" t="s">
        <v>34</v>
      </c>
      <c r="F1133" s="31">
        <v>3.8807870370370368E-2</v>
      </c>
      <c r="G1133" s="31">
        <v>0.33363425925925927</v>
      </c>
      <c r="H1133" s="31">
        <v>0.63358796296296294</v>
      </c>
      <c r="I1133" s="43">
        <f>H1133-G1133</f>
        <v>0.29995370370370367</v>
      </c>
      <c r="J1133" s="43">
        <v>0.3</v>
      </c>
      <c r="K1133" s="2"/>
      <c r="L1133" s="3">
        <f>J1133-I1133</f>
        <v>4.6296296296322037E-5</v>
      </c>
      <c r="M1133" s="4">
        <f>F1133/I1133</f>
        <v>0.12937953387868498</v>
      </c>
      <c r="N1133" s="4">
        <f>I1133/J1133</f>
        <v>0.99984567901234556</v>
      </c>
    </row>
    <row r="1134" spans="1:14" x14ac:dyDescent="0.3">
      <c r="A1134" s="29">
        <v>46119</v>
      </c>
      <c r="B1134" s="8">
        <f>YEAR(A1134)</f>
        <v>2026</v>
      </c>
      <c r="C1134" s="27" t="str">
        <f>TEXT(A1134,"MMMM")</f>
        <v>abril</v>
      </c>
      <c r="D1134" s="30" t="s">
        <v>24</v>
      </c>
      <c r="E1134" s="30" t="s">
        <v>34</v>
      </c>
      <c r="F1134" s="31">
        <v>5.6886574074074076E-2</v>
      </c>
      <c r="G1134" s="31">
        <v>0.33380787037037035</v>
      </c>
      <c r="H1134" s="31">
        <v>0.64877314814814813</v>
      </c>
      <c r="I1134" s="43">
        <f>H1134-G1134</f>
        <v>0.31496527777777777</v>
      </c>
      <c r="J1134" s="43">
        <v>0.3</v>
      </c>
      <c r="K1134" s="2">
        <f>I1134-J1134</f>
        <v>1.4965277777777786E-2</v>
      </c>
      <c r="L1134" s="3"/>
      <c r="M1134" s="4">
        <f>F1134/I1134</f>
        <v>0.18061220740087458</v>
      </c>
      <c r="N1134" s="4">
        <f>I1134/J1134</f>
        <v>1.0498842592592592</v>
      </c>
    </row>
    <row r="1135" spans="1:14" x14ac:dyDescent="0.3">
      <c r="A1135" s="29">
        <v>46119</v>
      </c>
      <c r="B1135" s="8">
        <f>YEAR(A1135)</f>
        <v>2026</v>
      </c>
      <c r="C1135" s="27" t="str">
        <f>TEXT(A1135,"MMMM")</f>
        <v>abril</v>
      </c>
      <c r="D1135" s="30" t="s">
        <v>76</v>
      </c>
      <c r="E1135" s="30" t="s">
        <v>34</v>
      </c>
      <c r="F1135" s="31">
        <v>4.6157407407407404E-2</v>
      </c>
      <c r="G1135" s="31">
        <v>0.45103009259259258</v>
      </c>
      <c r="H1135" s="31">
        <v>0.75181712962962965</v>
      </c>
      <c r="I1135" s="43">
        <f>H1135-G1135</f>
        <v>0.30078703703703707</v>
      </c>
      <c r="J1135" s="43">
        <v>0.3</v>
      </c>
      <c r="K1135" s="2">
        <f>I1135-J1135</f>
        <v>7.8703703703708605E-4</v>
      </c>
      <c r="L1135" s="3"/>
      <c r="M1135" s="4">
        <f>F1135/I1135</f>
        <v>0.15345544097275662</v>
      </c>
      <c r="N1135" s="4">
        <f>I1135/J1135</f>
        <v>1.0026234567901235</v>
      </c>
    </row>
    <row r="1136" spans="1:14" x14ac:dyDescent="0.3">
      <c r="A1136" s="29">
        <v>46119</v>
      </c>
      <c r="B1136" s="8">
        <f>YEAR(A1136)</f>
        <v>2026</v>
      </c>
      <c r="C1136" s="27" t="str">
        <f>TEXT(A1136,"MMMM")</f>
        <v>abril</v>
      </c>
      <c r="D1136" s="30" t="s">
        <v>77</v>
      </c>
      <c r="E1136" s="30" t="s">
        <v>34</v>
      </c>
      <c r="F1136" s="31">
        <v>3.802083333333333E-2</v>
      </c>
      <c r="G1136" s="31">
        <v>0.44466435185185182</v>
      </c>
      <c r="H1136" s="31">
        <v>0.7510648148148148</v>
      </c>
      <c r="I1136" s="43">
        <f>H1136-G1136</f>
        <v>0.30640046296296297</v>
      </c>
      <c r="J1136" s="43">
        <v>0.3</v>
      </c>
      <c r="K1136" s="2">
        <f>I1136-J1136</f>
        <v>6.4004629629629828E-3</v>
      </c>
      <c r="L1136" s="3"/>
      <c r="M1136" s="4">
        <f>F1136/I1136</f>
        <v>0.12408869414120045</v>
      </c>
      <c r="N1136" s="4">
        <f>I1136/J1136</f>
        <v>1.02133487654321</v>
      </c>
    </row>
    <row r="1137" spans="1:14" x14ac:dyDescent="0.3">
      <c r="A1137" s="29">
        <v>46119</v>
      </c>
      <c r="B1137" s="8">
        <f>YEAR(A1137)</f>
        <v>2026</v>
      </c>
      <c r="C1137" s="27" t="str">
        <f>TEXT(A1137,"MMMM")</f>
        <v>abril</v>
      </c>
      <c r="D1137" s="30" t="s">
        <v>25</v>
      </c>
      <c r="E1137" s="30" t="s">
        <v>21</v>
      </c>
      <c r="F1137" s="31">
        <v>6.2430555555555559E-2</v>
      </c>
      <c r="G1137" s="31">
        <v>0.33333333333333331</v>
      </c>
      <c r="H1137" s="31">
        <v>0.65456018518518522</v>
      </c>
      <c r="I1137" s="43">
        <f>H1137-G1137</f>
        <v>0.3212268518518519</v>
      </c>
      <c r="J1137" s="43">
        <v>0.3</v>
      </c>
      <c r="K1137" s="2">
        <f>I1137-J1137</f>
        <v>2.1226851851851913E-2</v>
      </c>
      <c r="L1137" s="3"/>
      <c r="M1137" s="4">
        <f>F1137/I1137</f>
        <v>0.19435036391150823</v>
      </c>
      <c r="N1137" s="4">
        <f>I1137/J1137</f>
        <v>1.0707561728395063</v>
      </c>
    </row>
    <row r="1138" spans="1:14" x14ac:dyDescent="0.3">
      <c r="A1138" s="29">
        <v>46119</v>
      </c>
      <c r="B1138" s="8">
        <f>YEAR(A1138)</f>
        <v>2026</v>
      </c>
      <c r="C1138" s="27" t="str">
        <f>TEXT(A1138,"MMMM")</f>
        <v>abril</v>
      </c>
      <c r="D1138" s="30" t="s">
        <v>26</v>
      </c>
      <c r="E1138" s="30" t="s">
        <v>15</v>
      </c>
      <c r="F1138" s="31">
        <v>5.230324074074074E-2</v>
      </c>
      <c r="G1138" s="31">
        <v>0.3397337962962963</v>
      </c>
      <c r="H1138" s="31">
        <v>0.63663194444444449</v>
      </c>
      <c r="I1138" s="43">
        <f>H1138-G1138</f>
        <v>0.29689814814814819</v>
      </c>
      <c r="J1138" s="43">
        <v>0.3</v>
      </c>
      <c r="K1138" s="2"/>
      <c r="L1138" s="3">
        <f>J1138-I1138</f>
        <v>3.1018518518518001E-3</v>
      </c>
      <c r="M1138" s="4">
        <f>F1138/I1138</f>
        <v>0.17616560112271945</v>
      </c>
      <c r="N1138" s="4">
        <f>I1138/J1138</f>
        <v>0.9896604938271607</v>
      </c>
    </row>
    <row r="1139" spans="1:14" x14ac:dyDescent="0.3">
      <c r="A1139" s="29">
        <v>46119</v>
      </c>
      <c r="B1139" s="8">
        <f>YEAR(A1139)</f>
        <v>2026</v>
      </c>
      <c r="C1139" s="27" t="str">
        <f>TEXT(A1139,"MMMM")</f>
        <v>abril</v>
      </c>
      <c r="D1139" s="30" t="s">
        <v>27</v>
      </c>
      <c r="E1139" s="30" t="s">
        <v>34</v>
      </c>
      <c r="F1139" s="31">
        <v>1.9212962962962963E-2</v>
      </c>
      <c r="G1139" s="31">
        <v>0.33371527777777776</v>
      </c>
      <c r="H1139" s="31">
        <v>0.65106481481481482</v>
      </c>
      <c r="I1139" s="43">
        <f>H1139-G1139</f>
        <v>0.31734953703703705</v>
      </c>
      <c r="J1139" s="43">
        <v>0.3</v>
      </c>
      <c r="K1139" s="2">
        <f>I1139-J1139</f>
        <v>1.7349537037037066E-2</v>
      </c>
      <c r="L1139" s="3"/>
      <c r="M1139" s="4">
        <f>F1139/I1139</f>
        <v>6.0541959954775883E-2</v>
      </c>
      <c r="N1139" s="4">
        <f>I1139/J1139</f>
        <v>1.0578317901234568</v>
      </c>
    </row>
    <row r="1140" spans="1:14" x14ac:dyDescent="0.3">
      <c r="A1140" s="29">
        <v>46119</v>
      </c>
      <c r="B1140" s="8">
        <f>YEAR(A1140)</f>
        <v>2026</v>
      </c>
      <c r="C1140" s="27" t="str">
        <f>TEXT(A1140,"MMMM")</f>
        <v>abril</v>
      </c>
      <c r="D1140" s="30" t="s">
        <v>68</v>
      </c>
      <c r="E1140" s="30" t="s">
        <v>21</v>
      </c>
      <c r="F1140" s="31">
        <v>2.5763888888888888E-2</v>
      </c>
      <c r="G1140" s="31">
        <v>0.4533564814814815</v>
      </c>
      <c r="H1140" s="31">
        <v>0.75019675925925922</v>
      </c>
      <c r="I1140" s="43">
        <f>H1140-G1140</f>
        <v>0.29684027777777772</v>
      </c>
      <c r="J1140" s="43">
        <v>0.3</v>
      </c>
      <c r="K1140" s="2"/>
      <c r="L1140" s="3">
        <f>J1140-I1140</f>
        <v>3.1597222222222721E-3</v>
      </c>
      <c r="M1140" s="4">
        <f>F1140/I1140</f>
        <v>8.6793777049947382E-2</v>
      </c>
      <c r="N1140" s="4">
        <f>I1140/J1140</f>
        <v>0.98946759259259243</v>
      </c>
    </row>
    <row r="1141" spans="1:14" x14ac:dyDescent="0.3">
      <c r="A1141" s="29">
        <v>46119</v>
      </c>
      <c r="B1141" s="8">
        <f>YEAR(A1141)</f>
        <v>2026</v>
      </c>
      <c r="C1141" s="27" t="str">
        <f>TEXT(A1141,"MMMM")</f>
        <v>abril</v>
      </c>
      <c r="D1141" s="30" t="s">
        <v>32</v>
      </c>
      <c r="E1141" s="30" t="s">
        <v>34</v>
      </c>
      <c r="F1141" s="31">
        <v>5.0601851851851849E-2</v>
      </c>
      <c r="G1141" s="31">
        <v>0.41006944444444443</v>
      </c>
      <c r="H1141" s="31">
        <v>0.75071759259259263</v>
      </c>
      <c r="I1141" s="43">
        <f>H1141-G1141</f>
        <v>0.3406481481481482</v>
      </c>
      <c r="J1141" s="43">
        <v>0.3</v>
      </c>
      <c r="K1141" s="2">
        <f>I1141-J1141</f>
        <v>4.0648148148148211E-2</v>
      </c>
      <c r="L1141" s="3"/>
      <c r="M1141" s="4">
        <f>F1141/I1141</f>
        <v>0.14854580048926336</v>
      </c>
      <c r="N1141" s="4">
        <f>I1141/J1141</f>
        <v>1.135493827160494</v>
      </c>
    </row>
    <row r="1142" spans="1:14" x14ac:dyDescent="0.3">
      <c r="A1142" s="29">
        <v>46119</v>
      </c>
      <c r="B1142" s="8">
        <f>YEAR(A1142)</f>
        <v>2026</v>
      </c>
      <c r="C1142" s="27" t="str">
        <f>TEXT(A1142,"MMMM")</f>
        <v>abril</v>
      </c>
      <c r="D1142" s="30" t="s">
        <v>29</v>
      </c>
      <c r="E1142" s="30" t="s">
        <v>34</v>
      </c>
      <c r="F1142" s="31">
        <v>5.6643518518518517E-2</v>
      </c>
      <c r="G1142" s="31">
        <v>0.33899305555555553</v>
      </c>
      <c r="H1142" s="31">
        <v>0.63423611111111111</v>
      </c>
      <c r="I1142" s="43">
        <f>H1142-G1142</f>
        <v>0.29524305555555558</v>
      </c>
      <c r="J1142" s="43">
        <v>0.3</v>
      </c>
      <c r="K1142" s="2"/>
      <c r="L1142" s="3">
        <f>J1142-I1142</f>
        <v>4.7569444444444109E-3</v>
      </c>
      <c r="M1142" s="4">
        <f>F1142/I1142</f>
        <v>0.19185385550197967</v>
      </c>
      <c r="N1142" s="4">
        <f>I1142/J1142</f>
        <v>0.98414351851851867</v>
      </c>
    </row>
    <row r="1143" spans="1:14" x14ac:dyDescent="0.3">
      <c r="A1143" s="29">
        <v>46120</v>
      </c>
      <c r="B1143" s="8">
        <f>YEAR(A1143)</f>
        <v>2026</v>
      </c>
      <c r="C1143" s="27" t="str">
        <f>TEXT(A1143,"MMMM")</f>
        <v>abril</v>
      </c>
      <c r="D1143" s="30" t="s">
        <v>16</v>
      </c>
      <c r="E1143" s="30" t="s">
        <v>34</v>
      </c>
      <c r="F1143" s="31">
        <v>5.8865740740740739E-2</v>
      </c>
      <c r="G1143" s="31">
        <v>0.3336689814814815</v>
      </c>
      <c r="H1143" s="31">
        <v>0.66094907407407411</v>
      </c>
      <c r="I1143" s="43">
        <f>H1143-G1143</f>
        <v>0.32728009259259261</v>
      </c>
      <c r="J1143" s="43">
        <v>0.3</v>
      </c>
      <c r="K1143" s="2">
        <f>I1143-J1143</f>
        <v>2.728009259259262E-2</v>
      </c>
      <c r="L1143" s="3"/>
      <c r="M1143" s="4">
        <f>F1143/I1143</f>
        <v>0.17986349329844042</v>
      </c>
      <c r="N1143" s="4">
        <f>I1143/J1143</f>
        <v>1.0909336419753088</v>
      </c>
    </row>
    <row r="1144" spans="1:14" x14ac:dyDescent="0.3">
      <c r="A1144" s="29">
        <v>46120</v>
      </c>
      <c r="B1144" s="8">
        <f>YEAR(A1144)</f>
        <v>2026</v>
      </c>
      <c r="C1144" s="27" t="str">
        <f>TEXT(A1144,"MMMM")</f>
        <v>abril</v>
      </c>
      <c r="D1144" s="30" t="s">
        <v>19</v>
      </c>
      <c r="E1144" s="30" t="s">
        <v>34</v>
      </c>
      <c r="F1144" s="31">
        <v>3.7453703703703704E-2</v>
      </c>
      <c r="G1144" s="31">
        <v>0.33333333333333331</v>
      </c>
      <c r="H1144" s="31">
        <v>0.63369212962962962</v>
      </c>
      <c r="I1144" s="43">
        <f>H1144-G1144</f>
        <v>0.3003587962962963</v>
      </c>
      <c r="J1144" s="43">
        <v>0.3</v>
      </c>
      <c r="K1144" s="2">
        <f>I1144-J1144</f>
        <v>3.5879629629631538E-4</v>
      </c>
      <c r="L1144" s="3"/>
      <c r="M1144" s="4">
        <f>F1144/I1144</f>
        <v>0.12469654348580016</v>
      </c>
      <c r="N1144" s="4">
        <f>I1144/J1144</f>
        <v>1.0011959876543211</v>
      </c>
    </row>
    <row r="1145" spans="1:14" x14ac:dyDescent="0.3">
      <c r="A1145" s="29">
        <v>46120</v>
      </c>
      <c r="B1145" s="8">
        <f>YEAR(A1145)</f>
        <v>2026</v>
      </c>
      <c r="C1145" s="27" t="str">
        <f>TEXT(A1145,"MMMM")</f>
        <v>abril</v>
      </c>
      <c r="D1145" s="30" t="s">
        <v>69</v>
      </c>
      <c r="E1145" s="30" t="s">
        <v>34</v>
      </c>
      <c r="F1145" s="31">
        <v>4.0289351851851854E-2</v>
      </c>
      <c r="G1145" s="31">
        <v>0.34751157407407407</v>
      </c>
      <c r="H1145" s="31">
        <v>0.71743055555555557</v>
      </c>
      <c r="I1145" s="43">
        <f>H1145-G1145</f>
        <v>0.3699189814814815</v>
      </c>
      <c r="J1145" s="43">
        <v>0.3</v>
      </c>
      <c r="K1145" s="2">
        <f>I1145-J1145</f>
        <v>6.9918981481481512E-2</v>
      </c>
      <c r="L1145" s="3"/>
      <c r="M1145" s="4">
        <f>F1145/I1145</f>
        <v>0.10891398892400113</v>
      </c>
      <c r="N1145" s="4">
        <f>I1145/J1145</f>
        <v>1.2330632716049383</v>
      </c>
    </row>
    <row r="1146" spans="1:14" x14ac:dyDescent="0.3">
      <c r="A1146" s="29">
        <v>46120</v>
      </c>
      <c r="B1146" s="8">
        <f>YEAR(A1146)</f>
        <v>2026</v>
      </c>
      <c r="C1146" s="27" t="str">
        <f>TEXT(A1146,"MMMM")</f>
        <v>abril</v>
      </c>
      <c r="D1146" s="30" t="s">
        <v>22</v>
      </c>
      <c r="E1146" s="30" t="s">
        <v>34</v>
      </c>
      <c r="F1146" s="31">
        <v>3.8576388888888889E-2</v>
      </c>
      <c r="G1146" s="31">
        <v>0.45034722222222223</v>
      </c>
      <c r="H1146" s="31">
        <v>0.7512268518518519</v>
      </c>
      <c r="I1146" s="43">
        <f>H1146-G1146</f>
        <v>0.30087962962962966</v>
      </c>
      <c r="J1146" s="43">
        <v>0.3</v>
      </c>
      <c r="K1146" s="2">
        <f>I1146-J1146</f>
        <v>8.7962962962967461E-4</v>
      </c>
      <c r="L1146" s="3"/>
      <c r="M1146" s="4">
        <f>F1146/I1146</f>
        <v>0.12821203262040312</v>
      </c>
      <c r="N1146" s="4">
        <f>I1146/J1146</f>
        <v>1.0029320987654322</v>
      </c>
    </row>
    <row r="1147" spans="1:14" x14ac:dyDescent="0.3">
      <c r="A1147" s="29">
        <v>46120</v>
      </c>
      <c r="B1147" s="8">
        <f>YEAR(A1147)</f>
        <v>2026</v>
      </c>
      <c r="C1147" s="27" t="str">
        <f>TEXT(A1147,"MMMM")</f>
        <v>abril</v>
      </c>
      <c r="D1147" s="30" t="s">
        <v>33</v>
      </c>
      <c r="E1147" s="30" t="s">
        <v>34</v>
      </c>
      <c r="F1147" s="31">
        <v>3.8182870370370367E-2</v>
      </c>
      <c r="G1147" s="31">
        <v>0.33333333333333331</v>
      </c>
      <c r="H1147" s="31">
        <v>0.66660879629629632</v>
      </c>
      <c r="I1147" s="43">
        <f>H1147-G1147</f>
        <v>0.33327546296296301</v>
      </c>
      <c r="J1147" s="43">
        <v>0.3</v>
      </c>
      <c r="K1147" s="2">
        <f>I1147-J1147</f>
        <v>3.3275462962963021E-2</v>
      </c>
      <c r="L1147" s="3"/>
      <c r="M1147" s="4">
        <f>F1147/I1147</f>
        <v>0.11456850147595066</v>
      </c>
      <c r="N1147" s="4">
        <f>I1147/J1147</f>
        <v>1.1109182098765433</v>
      </c>
    </row>
    <row r="1148" spans="1:14" x14ac:dyDescent="0.3">
      <c r="A1148" s="29">
        <v>46120</v>
      </c>
      <c r="B1148" s="8">
        <f>YEAR(A1148)</f>
        <v>2026</v>
      </c>
      <c r="C1148" s="27" t="str">
        <f>TEXT(A1148,"MMMM")</f>
        <v>abril</v>
      </c>
      <c r="D1148" s="30" t="s">
        <v>24</v>
      </c>
      <c r="E1148" s="30" t="s">
        <v>34</v>
      </c>
      <c r="F1148" s="31">
        <v>4.3692129629629629E-2</v>
      </c>
      <c r="G1148" s="31">
        <v>0.33432870370370371</v>
      </c>
      <c r="H1148" s="31">
        <v>0.65030092592592592</v>
      </c>
      <c r="I1148" s="43">
        <f>H1148-G1148</f>
        <v>0.31597222222222221</v>
      </c>
      <c r="J1148" s="43">
        <v>0.3</v>
      </c>
      <c r="K1148" s="2">
        <f>I1148-J1148</f>
        <v>1.5972222222222221E-2</v>
      </c>
      <c r="L1148" s="3"/>
      <c r="M1148" s="4">
        <f>F1148/I1148</f>
        <v>0.13827838827838829</v>
      </c>
      <c r="N1148" s="4">
        <f>I1148/J1148</f>
        <v>1.0532407407407407</v>
      </c>
    </row>
    <row r="1149" spans="1:14" x14ac:dyDescent="0.3">
      <c r="A1149" s="29">
        <v>46120</v>
      </c>
      <c r="B1149" s="8">
        <f>YEAR(A1149)</f>
        <v>2026</v>
      </c>
      <c r="C1149" s="27" t="str">
        <f>TEXT(A1149,"MMMM")</f>
        <v>abril</v>
      </c>
      <c r="D1149" s="30" t="s">
        <v>77</v>
      </c>
      <c r="E1149" s="30" t="s">
        <v>34</v>
      </c>
      <c r="F1149" s="31">
        <v>3.2870370370370369E-2</v>
      </c>
      <c r="G1149" s="31">
        <v>0.43252314814814813</v>
      </c>
      <c r="H1149" s="31">
        <v>0.7502199074074074</v>
      </c>
      <c r="I1149" s="43">
        <f>H1149-G1149</f>
        <v>0.31769675925925928</v>
      </c>
      <c r="J1149" s="43">
        <v>0.3</v>
      </c>
      <c r="K1149" s="2">
        <f>I1149-J1149</f>
        <v>1.7696759259259287E-2</v>
      </c>
      <c r="L1149" s="3"/>
      <c r="M1149" s="4">
        <f>F1149/I1149</f>
        <v>0.10346460708951145</v>
      </c>
      <c r="N1149" s="4">
        <f>I1149/J1149</f>
        <v>1.0589891975308643</v>
      </c>
    </row>
    <row r="1150" spans="1:14" x14ac:dyDescent="0.3">
      <c r="A1150" s="29">
        <v>46120</v>
      </c>
      <c r="B1150" s="8">
        <f>YEAR(A1150)</f>
        <v>2026</v>
      </c>
      <c r="C1150" s="27" t="str">
        <f>TEXT(A1150,"MMMM")</f>
        <v>abril</v>
      </c>
      <c r="D1150" s="30" t="s">
        <v>25</v>
      </c>
      <c r="E1150" s="30" t="s">
        <v>21</v>
      </c>
      <c r="F1150" s="31">
        <v>4.4965277777777778E-2</v>
      </c>
      <c r="G1150" s="31">
        <v>0.33333333333333331</v>
      </c>
      <c r="H1150" s="31">
        <v>0.65449074074074076</v>
      </c>
      <c r="I1150" s="43">
        <f>H1150-G1150</f>
        <v>0.32115740740740745</v>
      </c>
      <c r="J1150" s="43">
        <v>0.3</v>
      </c>
      <c r="K1150" s="2">
        <f>I1150-J1150</f>
        <v>2.1157407407407458E-2</v>
      </c>
      <c r="L1150" s="3"/>
      <c r="M1150" s="4">
        <f>F1150/I1150</f>
        <v>0.14001009081735619</v>
      </c>
      <c r="N1150" s="4">
        <f>I1150/J1150</f>
        <v>1.0705246913580249</v>
      </c>
    </row>
    <row r="1151" spans="1:14" x14ac:dyDescent="0.3">
      <c r="A1151" s="29">
        <v>46120</v>
      </c>
      <c r="B1151" s="8">
        <f>YEAR(A1151)</f>
        <v>2026</v>
      </c>
      <c r="C1151" s="27" t="str">
        <f>TEXT(A1151,"MMMM")</f>
        <v>abril</v>
      </c>
      <c r="D1151" s="30" t="s">
        <v>26</v>
      </c>
      <c r="E1151" s="30" t="s">
        <v>15</v>
      </c>
      <c r="F1151" s="31">
        <v>4.5451388888888888E-2</v>
      </c>
      <c r="G1151" s="31">
        <v>0.3460185185185185</v>
      </c>
      <c r="H1151" s="31">
        <v>0.63719907407407406</v>
      </c>
      <c r="I1151" s="43">
        <f>H1151-G1151</f>
        <v>0.29118055555555555</v>
      </c>
      <c r="J1151" s="43">
        <v>0.3</v>
      </c>
      <c r="K1151" s="2"/>
      <c r="L1151" s="3">
        <f>J1151-I1151</f>
        <v>8.8194444444444353E-3</v>
      </c>
      <c r="M1151" s="4">
        <f>F1151/I1151</f>
        <v>0.15609348914858096</v>
      </c>
      <c r="N1151" s="4">
        <f>I1151/J1151</f>
        <v>0.97060185185185188</v>
      </c>
    </row>
    <row r="1152" spans="1:14" x14ac:dyDescent="0.3">
      <c r="A1152" s="29">
        <v>46120</v>
      </c>
      <c r="B1152" s="8">
        <f>YEAR(A1152)</f>
        <v>2026</v>
      </c>
      <c r="C1152" s="27" t="str">
        <f>TEXT(A1152,"MMMM")</f>
        <v>abril</v>
      </c>
      <c r="D1152" s="30" t="s">
        <v>27</v>
      </c>
      <c r="E1152" s="30" t="s">
        <v>34</v>
      </c>
      <c r="F1152" s="31">
        <v>3.7789351851851852E-2</v>
      </c>
      <c r="G1152" s="31">
        <v>0.33333333333333331</v>
      </c>
      <c r="H1152" s="31">
        <v>0.63395833333333329</v>
      </c>
      <c r="I1152" s="43">
        <f>H1152-G1152</f>
        <v>0.30062499999999998</v>
      </c>
      <c r="J1152" s="43">
        <v>0.3</v>
      </c>
      <c r="K1152" s="2">
        <f>I1152-J1152</f>
        <v>6.2499999999998668E-4</v>
      </c>
      <c r="L1152" s="3"/>
      <c r="M1152" s="4">
        <f>F1152/I1152</f>
        <v>0.12570262570262572</v>
      </c>
      <c r="N1152" s="4">
        <f>I1152/J1152</f>
        <v>1.0020833333333332</v>
      </c>
    </row>
    <row r="1153" spans="1:14" x14ac:dyDescent="0.3">
      <c r="A1153" s="29">
        <v>46120</v>
      </c>
      <c r="B1153" s="8">
        <f>YEAR(A1153)</f>
        <v>2026</v>
      </c>
      <c r="C1153" s="27" t="str">
        <f>TEXT(A1153,"MMMM")</f>
        <v>abril</v>
      </c>
      <c r="D1153" s="30" t="s">
        <v>68</v>
      </c>
      <c r="E1153" s="30" t="s">
        <v>21</v>
      </c>
      <c r="F1153" s="31">
        <v>6.0127314814814814E-2</v>
      </c>
      <c r="G1153" s="31">
        <v>0.44821759259259258</v>
      </c>
      <c r="H1153" s="31">
        <v>0.75028935185185186</v>
      </c>
      <c r="I1153" s="43">
        <f>H1153-G1153</f>
        <v>0.30207175925925928</v>
      </c>
      <c r="J1153" s="43">
        <v>0.3</v>
      </c>
      <c r="K1153" s="2">
        <f>I1153-J1153</f>
        <v>2.0717592592592871E-3</v>
      </c>
      <c r="L1153" s="3"/>
      <c r="M1153" s="4">
        <f>F1153/I1153</f>
        <v>0.19904977202191654</v>
      </c>
      <c r="N1153" s="4">
        <f>I1153/J1153</f>
        <v>1.006905864197531</v>
      </c>
    </row>
    <row r="1154" spans="1:14" x14ac:dyDescent="0.3">
      <c r="A1154" s="29">
        <v>46120</v>
      </c>
      <c r="B1154" s="8">
        <f>YEAR(A1154)</f>
        <v>2026</v>
      </c>
      <c r="C1154" s="27" t="str">
        <f>TEXT(A1154,"MMMM")</f>
        <v>abril</v>
      </c>
      <c r="D1154" s="30" t="s">
        <v>32</v>
      </c>
      <c r="E1154" s="30" t="s">
        <v>34</v>
      </c>
      <c r="F1154" s="31">
        <v>5.1770833333333335E-2</v>
      </c>
      <c r="G1154" s="31">
        <v>0.42628472222222225</v>
      </c>
      <c r="H1154" s="31">
        <v>0.7502199074074074</v>
      </c>
      <c r="I1154" s="43">
        <f>H1154-G1154</f>
        <v>0.32393518518518516</v>
      </c>
      <c r="J1154" s="43">
        <v>0.3</v>
      </c>
      <c r="K1154" s="2">
        <f>I1154-J1154</f>
        <v>2.393518518518517E-2</v>
      </c>
      <c r="L1154" s="3"/>
      <c r="M1154" s="4">
        <f>F1154/I1154</f>
        <v>0.15981849364013151</v>
      </c>
      <c r="N1154" s="4">
        <f>I1154/J1154</f>
        <v>1.0797839506172839</v>
      </c>
    </row>
    <row r="1155" spans="1:14" x14ac:dyDescent="0.3">
      <c r="A1155" s="29">
        <v>46120</v>
      </c>
      <c r="B1155" s="8">
        <f>YEAR(A1155)</f>
        <v>2026</v>
      </c>
      <c r="C1155" s="27" t="str">
        <f>TEXT(A1155,"MMMM")</f>
        <v>abril</v>
      </c>
      <c r="D1155" s="30" t="s">
        <v>29</v>
      </c>
      <c r="E1155" s="30" t="s">
        <v>34</v>
      </c>
      <c r="F1155" s="31">
        <v>4.0868055555555553E-2</v>
      </c>
      <c r="G1155" s="31">
        <v>0.34402777777777777</v>
      </c>
      <c r="H1155" s="31">
        <v>0.635625</v>
      </c>
      <c r="I1155" s="43">
        <f>H1155-G1155</f>
        <v>0.29159722222222223</v>
      </c>
      <c r="J1155" s="43">
        <v>0.3</v>
      </c>
      <c r="K1155" s="2"/>
      <c r="L1155" s="3">
        <f>J1155-I1155</f>
        <v>8.402777777777759E-3</v>
      </c>
      <c r="M1155" s="4">
        <f>F1155/I1155</f>
        <v>0.14015241724220051</v>
      </c>
      <c r="N1155" s="4">
        <f>I1155/J1155</f>
        <v>0.97199074074074077</v>
      </c>
    </row>
    <row r="1156" spans="1:14" x14ac:dyDescent="0.3">
      <c r="A1156" s="29">
        <v>46121</v>
      </c>
      <c r="B1156" s="8">
        <f>YEAR(A1156)</f>
        <v>2026</v>
      </c>
      <c r="C1156" s="27" t="str">
        <f>TEXT(A1156,"MMMM")</f>
        <v>abril</v>
      </c>
      <c r="D1156" s="30" t="s">
        <v>16</v>
      </c>
      <c r="E1156" s="30" t="s">
        <v>34</v>
      </c>
      <c r="F1156" s="31">
        <v>4.5671296296296293E-2</v>
      </c>
      <c r="G1156" s="31">
        <v>0.33374999999999999</v>
      </c>
      <c r="H1156" s="31">
        <v>0.63371527777777781</v>
      </c>
      <c r="I1156" s="43">
        <f>H1156-G1156</f>
        <v>0.29996527777777782</v>
      </c>
      <c r="J1156" s="43">
        <v>0.3</v>
      </c>
      <c r="K1156" s="2"/>
      <c r="L1156" s="3">
        <f>J1156-I1156</f>
        <v>3.4722222222172139E-5</v>
      </c>
      <c r="M1156" s="4">
        <f>F1156/I1156</f>
        <v>0.15225527645946674</v>
      </c>
      <c r="N1156" s="4">
        <f>I1156/J1156</f>
        <v>0.99988425925925939</v>
      </c>
    </row>
    <row r="1157" spans="1:14" x14ac:dyDescent="0.3">
      <c r="A1157" s="29">
        <v>46121</v>
      </c>
      <c r="B1157" s="8">
        <f>YEAR(A1157)</f>
        <v>2026</v>
      </c>
      <c r="C1157" s="27" t="str">
        <f>TEXT(A1157,"MMMM")</f>
        <v>abril</v>
      </c>
      <c r="D1157" s="30" t="s">
        <v>47</v>
      </c>
      <c r="E1157" s="30" t="s">
        <v>34</v>
      </c>
      <c r="F1157" s="31">
        <v>3.7465277777777778E-2</v>
      </c>
      <c r="G1157" s="31">
        <v>0.51188657407407412</v>
      </c>
      <c r="H1157" s="31">
        <v>0.75163194444444448</v>
      </c>
      <c r="I1157" s="43">
        <f>H1157-G1157</f>
        <v>0.23974537037037036</v>
      </c>
      <c r="J1157" s="43">
        <v>0.25</v>
      </c>
      <c r="K1157" s="2"/>
      <c r="L1157" s="3">
        <f>J1157-I1157</f>
        <v>1.0254629629629641E-2</v>
      </c>
      <c r="M1157" s="4">
        <f>F1157/I1157</f>
        <v>0.15627112098097906</v>
      </c>
      <c r="N1157" s="4">
        <f>I1157/J1157</f>
        <v>0.95898148148148143</v>
      </c>
    </row>
    <row r="1158" spans="1:14" x14ac:dyDescent="0.3">
      <c r="A1158" s="29">
        <v>46121</v>
      </c>
      <c r="B1158" s="8">
        <f>YEAR(A1158)</f>
        <v>2026</v>
      </c>
      <c r="C1158" s="27" t="str">
        <f>TEXT(A1158,"MMMM")</f>
        <v>abril</v>
      </c>
      <c r="D1158" s="30" t="s">
        <v>19</v>
      </c>
      <c r="E1158" s="30" t="s">
        <v>34</v>
      </c>
      <c r="F1158" s="31">
        <v>5.002314814814815E-2</v>
      </c>
      <c r="G1158" s="31">
        <v>0.33493055555555556</v>
      </c>
      <c r="H1158" s="31">
        <v>0.67664351851851856</v>
      </c>
      <c r="I1158" s="43">
        <f>H1158-G1158</f>
        <v>0.341712962962963</v>
      </c>
      <c r="J1158" s="43">
        <v>0.3</v>
      </c>
      <c r="K1158" s="2">
        <f>I1158-J1158</f>
        <v>4.1712962962963007E-2</v>
      </c>
      <c r="L1158" s="3"/>
      <c r="M1158" s="4">
        <f>F1158/I1158</f>
        <v>0.14638937813304428</v>
      </c>
      <c r="N1158" s="4">
        <f>I1158/J1158</f>
        <v>1.1390432098765433</v>
      </c>
    </row>
    <row r="1159" spans="1:14" x14ac:dyDescent="0.3">
      <c r="A1159" s="29">
        <v>46121</v>
      </c>
      <c r="B1159" s="8">
        <f>YEAR(A1159)</f>
        <v>2026</v>
      </c>
      <c r="C1159" s="27" t="str">
        <f>TEXT(A1159,"MMMM")</f>
        <v>abril</v>
      </c>
      <c r="D1159" s="30" t="s">
        <v>69</v>
      </c>
      <c r="E1159" s="30" t="s">
        <v>34</v>
      </c>
      <c r="F1159" s="31">
        <v>2.0590277777777777E-2</v>
      </c>
      <c r="G1159" s="31">
        <v>0.33667824074074076</v>
      </c>
      <c r="H1159" s="31">
        <v>0.65453703703703703</v>
      </c>
      <c r="I1159" s="43">
        <f>H1159-G1159</f>
        <v>0.31785879629629626</v>
      </c>
      <c r="J1159" s="43">
        <v>0.3</v>
      </c>
      <c r="K1159" s="2">
        <f>I1159-J1159</f>
        <v>1.7858796296296275E-2</v>
      </c>
      <c r="L1159" s="3"/>
      <c r="M1159" s="4">
        <f>F1159/I1159</f>
        <v>6.4778065032953427E-2</v>
      </c>
      <c r="N1159" s="4">
        <f>I1159/J1159</f>
        <v>1.0595293209876542</v>
      </c>
    </row>
    <row r="1160" spans="1:14" x14ac:dyDescent="0.3">
      <c r="A1160" s="29">
        <v>46121</v>
      </c>
      <c r="B1160" s="8">
        <f>YEAR(A1160)</f>
        <v>2026</v>
      </c>
      <c r="C1160" s="27" t="str">
        <f>TEXT(A1160,"MMMM")</f>
        <v>abril</v>
      </c>
      <c r="D1160" s="30" t="s">
        <v>22</v>
      </c>
      <c r="E1160" s="30" t="s">
        <v>34</v>
      </c>
      <c r="F1160" s="31">
        <v>3.9710648148148148E-2</v>
      </c>
      <c r="G1160" s="31">
        <v>0.44017361111111108</v>
      </c>
      <c r="H1160" s="31">
        <v>0.75097222222222226</v>
      </c>
      <c r="I1160" s="43">
        <f>H1160-G1160</f>
        <v>0.31079861111111118</v>
      </c>
      <c r="J1160" s="43">
        <v>0.3</v>
      </c>
      <c r="K1160" s="2">
        <f>I1160-J1160</f>
        <v>1.0798611111111189E-2</v>
      </c>
      <c r="L1160" s="3"/>
      <c r="M1160" s="4">
        <f>F1160/I1160</f>
        <v>0.1277697091572636</v>
      </c>
      <c r="N1160" s="4">
        <f>I1160/J1160</f>
        <v>1.0359953703703706</v>
      </c>
    </row>
    <row r="1161" spans="1:14" x14ac:dyDescent="0.3">
      <c r="A1161" s="29">
        <v>46121</v>
      </c>
      <c r="B1161" s="8">
        <f>YEAR(A1161)</f>
        <v>2026</v>
      </c>
      <c r="C1161" s="27" t="str">
        <f>TEXT(A1161,"MMMM")</f>
        <v>abril</v>
      </c>
      <c r="D1161" s="30" t="s">
        <v>33</v>
      </c>
      <c r="E1161" s="30" t="s">
        <v>34</v>
      </c>
      <c r="F1161" s="31">
        <v>3.528935185185185E-2</v>
      </c>
      <c r="G1161" s="31">
        <v>0.33348379629629632</v>
      </c>
      <c r="H1161" s="31">
        <v>0.66759259259259263</v>
      </c>
      <c r="I1161" s="43">
        <f>H1161-G1161</f>
        <v>0.33410879629629631</v>
      </c>
      <c r="J1161" s="43">
        <v>0.3</v>
      </c>
      <c r="K1161" s="2">
        <f>I1161-J1161</f>
        <v>3.4108796296296318E-2</v>
      </c>
      <c r="L1161" s="3"/>
      <c r="M1161" s="4">
        <f>F1161/I1161</f>
        <v>0.10562233692451588</v>
      </c>
      <c r="N1161" s="4">
        <f>I1161/J1161</f>
        <v>1.1136959876543211</v>
      </c>
    </row>
    <row r="1162" spans="1:14" x14ac:dyDescent="0.3">
      <c r="A1162" s="29">
        <v>46121</v>
      </c>
      <c r="B1162" s="8">
        <f>YEAR(A1162)</f>
        <v>2026</v>
      </c>
      <c r="C1162" s="27" t="str">
        <f>TEXT(A1162,"MMMM")</f>
        <v>abril</v>
      </c>
      <c r="D1162" s="30" t="s">
        <v>24</v>
      </c>
      <c r="E1162" s="30" t="s">
        <v>34</v>
      </c>
      <c r="F1162" s="31">
        <v>4.2118055555555554E-2</v>
      </c>
      <c r="G1162" s="31">
        <v>0.3357175925925926</v>
      </c>
      <c r="H1162" s="31">
        <v>0.6333333333333333</v>
      </c>
      <c r="I1162" s="43">
        <f>H1162-G1162</f>
        <v>0.29761574074074071</v>
      </c>
      <c r="J1162" s="43">
        <v>0.3</v>
      </c>
      <c r="K1162" s="2"/>
      <c r="L1162" s="3">
        <f>J1162-I1162</f>
        <v>2.3842592592592804E-3</v>
      </c>
      <c r="M1162" s="4">
        <f>F1162/I1162</f>
        <v>0.14151823909154548</v>
      </c>
      <c r="N1162" s="4">
        <f>I1162/J1162</f>
        <v>0.99205246913580236</v>
      </c>
    </row>
    <row r="1163" spans="1:14" x14ac:dyDescent="0.3">
      <c r="A1163" s="29">
        <v>46121</v>
      </c>
      <c r="B1163" s="8">
        <f>YEAR(A1163)</f>
        <v>2026</v>
      </c>
      <c r="C1163" s="27" t="str">
        <f>TEXT(A1163,"MMMM")</f>
        <v>abril</v>
      </c>
      <c r="D1163" s="30" t="s">
        <v>76</v>
      </c>
      <c r="E1163" s="30" t="s">
        <v>34</v>
      </c>
      <c r="F1163" s="31">
        <v>5.047453703703704E-2</v>
      </c>
      <c r="G1163" s="31">
        <v>0.45204861111111111</v>
      </c>
      <c r="H1163" s="31">
        <v>0.75026620370370367</v>
      </c>
      <c r="I1163" s="43">
        <f>H1163-G1163</f>
        <v>0.29821759259259256</v>
      </c>
      <c r="J1163" s="43">
        <v>0.3</v>
      </c>
      <c r="K1163" s="2"/>
      <c r="L1163" s="3">
        <f>J1163-I1163</f>
        <v>1.782407407407427E-3</v>
      </c>
      <c r="M1163" s="4">
        <f>F1163/I1163</f>
        <v>0.16925405573236049</v>
      </c>
      <c r="N1163" s="4">
        <f>I1163/J1163</f>
        <v>0.99405864197530858</v>
      </c>
    </row>
    <row r="1164" spans="1:14" x14ac:dyDescent="0.3">
      <c r="A1164" s="29">
        <v>46121</v>
      </c>
      <c r="B1164" s="8">
        <f>YEAR(A1164)</f>
        <v>2026</v>
      </c>
      <c r="C1164" s="27" t="str">
        <f>TEXT(A1164,"MMMM")</f>
        <v>abril</v>
      </c>
      <c r="D1164" s="30" t="s">
        <v>77</v>
      </c>
      <c r="E1164" s="30" t="s">
        <v>34</v>
      </c>
      <c r="F1164" s="31">
        <v>4.4328703703703703E-2</v>
      </c>
      <c r="G1164" s="31">
        <v>0.43307870370370372</v>
      </c>
      <c r="H1164" s="31">
        <v>0.75039351851851854</v>
      </c>
      <c r="I1164" s="43">
        <f>H1164-G1164</f>
        <v>0.31731481481481483</v>
      </c>
      <c r="J1164" s="43">
        <v>0.3</v>
      </c>
      <c r="K1164" s="2">
        <f>I1164-J1164</f>
        <v>1.7314814814814838E-2</v>
      </c>
      <c r="L1164" s="3"/>
      <c r="M1164" s="4">
        <f>F1164/I1164</f>
        <v>0.13969944557922381</v>
      </c>
      <c r="N1164" s="4">
        <f>I1164/J1164</f>
        <v>1.0577160493827162</v>
      </c>
    </row>
    <row r="1165" spans="1:14" x14ac:dyDescent="0.3">
      <c r="A1165" s="29">
        <v>46121</v>
      </c>
      <c r="B1165" s="8">
        <f>YEAR(A1165)</f>
        <v>2026</v>
      </c>
      <c r="C1165" s="27" t="str">
        <f>TEXT(A1165,"MMMM")</f>
        <v>abril</v>
      </c>
      <c r="D1165" s="30" t="s">
        <v>25</v>
      </c>
      <c r="E1165" s="30" t="s">
        <v>21</v>
      </c>
      <c r="F1165" s="31">
        <v>4.6817129629629632E-2</v>
      </c>
      <c r="G1165" s="31">
        <v>0.33341435185185186</v>
      </c>
      <c r="H1165" s="31">
        <v>0.65473379629629624</v>
      </c>
      <c r="I1165" s="43">
        <f>H1165-G1165</f>
        <v>0.32131944444444438</v>
      </c>
      <c r="J1165" s="43">
        <v>0.3</v>
      </c>
      <c r="K1165" s="2">
        <f>I1165-J1165</f>
        <v>2.1319444444444391E-2</v>
      </c>
      <c r="L1165" s="3"/>
      <c r="M1165" s="4">
        <f>F1165/I1165</f>
        <v>0.14570275916720701</v>
      </c>
      <c r="N1165" s="4">
        <f>I1165/J1165</f>
        <v>1.0710648148148147</v>
      </c>
    </row>
    <row r="1166" spans="1:14" x14ac:dyDescent="0.3">
      <c r="A1166" s="29">
        <v>46121</v>
      </c>
      <c r="B1166" s="8">
        <f>YEAR(A1166)</f>
        <v>2026</v>
      </c>
      <c r="C1166" s="27" t="str">
        <f>TEXT(A1166,"MMMM")</f>
        <v>abril</v>
      </c>
      <c r="D1166" s="30" t="s">
        <v>26</v>
      </c>
      <c r="E1166" s="30" t="s">
        <v>15</v>
      </c>
      <c r="F1166" s="31">
        <v>3.7812499999999999E-2</v>
      </c>
      <c r="G1166" s="31">
        <v>0.33374999999999999</v>
      </c>
      <c r="H1166" s="31">
        <v>0.63758101851851856</v>
      </c>
      <c r="I1166" s="43">
        <f>H1166-G1166</f>
        <v>0.30383101851851857</v>
      </c>
      <c r="J1166" s="43">
        <v>0.3</v>
      </c>
      <c r="K1166" s="2">
        <f>I1166-J1166</f>
        <v>3.8310185185185808E-3</v>
      </c>
      <c r="L1166" s="3"/>
      <c r="M1166" s="4">
        <f>F1166/I1166</f>
        <v>0.12445240181326424</v>
      </c>
      <c r="N1166" s="4">
        <f>I1166/J1166</f>
        <v>1.0127700617283952</v>
      </c>
    </row>
    <row r="1167" spans="1:14" x14ac:dyDescent="0.3">
      <c r="A1167" s="29">
        <v>46121</v>
      </c>
      <c r="B1167" s="8">
        <f>YEAR(A1167)</f>
        <v>2026</v>
      </c>
      <c r="C1167" s="27" t="str">
        <f>TEXT(A1167,"MMMM")</f>
        <v>abril</v>
      </c>
      <c r="D1167" s="30" t="s">
        <v>27</v>
      </c>
      <c r="E1167" s="30" t="s">
        <v>34</v>
      </c>
      <c r="F1167" s="31">
        <v>2.6076388888888889E-2</v>
      </c>
      <c r="G1167" s="31">
        <v>0.33333333333333331</v>
      </c>
      <c r="H1167" s="31">
        <v>0.6347800925925926</v>
      </c>
      <c r="I1167" s="43">
        <f>H1167-G1167</f>
        <v>0.30144675925925929</v>
      </c>
      <c r="J1167" s="43">
        <v>0.3</v>
      </c>
      <c r="K1167" s="2">
        <f>I1167-J1167</f>
        <v>1.4467592592593004E-3</v>
      </c>
      <c r="L1167" s="3"/>
      <c r="M1167" s="4">
        <f>F1167/I1167</f>
        <v>8.6504127471683609E-2</v>
      </c>
      <c r="N1167" s="4">
        <f>I1167/J1167</f>
        <v>1.0048225308641976</v>
      </c>
    </row>
    <row r="1168" spans="1:14" x14ac:dyDescent="0.3">
      <c r="A1168" s="29">
        <v>46121</v>
      </c>
      <c r="B1168" s="8">
        <f>YEAR(A1168)</f>
        <v>2026</v>
      </c>
      <c r="C1168" s="27" t="str">
        <f>TEXT(A1168,"MMMM")</f>
        <v>abril</v>
      </c>
      <c r="D1168" s="30" t="s">
        <v>68</v>
      </c>
      <c r="E1168" s="30" t="s">
        <v>21</v>
      </c>
      <c r="F1168" s="31">
        <v>5.5856481481481479E-2</v>
      </c>
      <c r="G1168" s="31">
        <v>0.44104166666666667</v>
      </c>
      <c r="H1168" s="31">
        <v>0.75084490740740739</v>
      </c>
      <c r="I1168" s="43">
        <f>H1168-G1168</f>
        <v>0.30980324074074073</v>
      </c>
      <c r="J1168" s="43">
        <v>0.3</v>
      </c>
      <c r="K1168" s="2">
        <f>I1168-J1168</f>
        <v>9.8032407407407374E-3</v>
      </c>
      <c r="L1168" s="3"/>
      <c r="M1168" s="4">
        <f>F1168/I1168</f>
        <v>0.1802966339148952</v>
      </c>
      <c r="N1168" s="4">
        <f>I1168/J1168</f>
        <v>1.0326774691358025</v>
      </c>
    </row>
    <row r="1169" spans="1:14" x14ac:dyDescent="0.3">
      <c r="A1169" s="29">
        <v>46121</v>
      </c>
      <c r="B1169" s="8">
        <f>YEAR(A1169)</f>
        <v>2026</v>
      </c>
      <c r="C1169" s="27" t="str">
        <f>TEXT(A1169,"MMMM")</f>
        <v>abril</v>
      </c>
      <c r="D1169" s="30" t="s">
        <v>32</v>
      </c>
      <c r="E1169" s="30" t="s">
        <v>34</v>
      </c>
      <c r="F1169" s="31">
        <v>4.6469907407407404E-2</v>
      </c>
      <c r="G1169" s="31">
        <v>0.41063657407407406</v>
      </c>
      <c r="H1169" s="31">
        <v>0.75043981481481481</v>
      </c>
      <c r="I1169" s="43">
        <f>H1169-G1169</f>
        <v>0.33980324074074075</v>
      </c>
      <c r="J1169" s="43">
        <v>0.3</v>
      </c>
      <c r="K1169" s="2">
        <f>I1169-J1169</f>
        <v>3.9803240740740764E-2</v>
      </c>
      <c r="L1169" s="3"/>
      <c r="M1169" s="4">
        <f>F1169/I1169</f>
        <v>0.13675533907830648</v>
      </c>
      <c r="N1169" s="4">
        <f>I1169/J1169</f>
        <v>1.1326774691358026</v>
      </c>
    </row>
    <row r="1170" spans="1:14" x14ac:dyDescent="0.3">
      <c r="A1170" s="29">
        <v>46121</v>
      </c>
      <c r="B1170" s="8">
        <f>YEAR(A1170)</f>
        <v>2026</v>
      </c>
      <c r="C1170" s="27" t="str">
        <f>TEXT(A1170,"MMMM")</f>
        <v>abril</v>
      </c>
      <c r="D1170" s="30" t="s">
        <v>29</v>
      </c>
      <c r="E1170" s="30" t="s">
        <v>34</v>
      </c>
      <c r="F1170" s="31">
        <v>6.356481481481481E-2</v>
      </c>
      <c r="G1170" s="31">
        <v>0.33333333333333331</v>
      </c>
      <c r="H1170" s="31">
        <v>0.7201157407407407</v>
      </c>
      <c r="I1170" s="43">
        <f>H1170-G1170</f>
        <v>0.38678240740740738</v>
      </c>
      <c r="J1170" s="43">
        <v>0.3</v>
      </c>
      <c r="K1170" s="2">
        <f>I1170-J1170</f>
        <v>8.6782407407407391E-2</v>
      </c>
      <c r="L1170" s="3"/>
      <c r="M1170" s="4">
        <f>F1170/I1170</f>
        <v>0.1643425698725238</v>
      </c>
      <c r="N1170" s="4">
        <f>I1170/J1170</f>
        <v>1.2892746913580246</v>
      </c>
    </row>
    <row r="1171" spans="1:14" x14ac:dyDescent="0.3">
      <c r="A1171" s="29">
        <v>46122</v>
      </c>
      <c r="B1171" s="8">
        <f>YEAR(A1171)</f>
        <v>2026</v>
      </c>
      <c r="C1171" s="27" t="str">
        <f>TEXT(A1171,"MMMM")</f>
        <v>abril</v>
      </c>
      <c r="D1171" s="30" t="s">
        <v>16</v>
      </c>
      <c r="E1171" s="30" t="s">
        <v>34</v>
      </c>
      <c r="F1171" s="31">
        <v>4.4363425925925924E-2</v>
      </c>
      <c r="G1171" s="31">
        <v>0.34814814814814815</v>
      </c>
      <c r="H1171" s="31">
        <v>0.6810532407407407</v>
      </c>
      <c r="I1171" s="43">
        <f>H1171-G1171</f>
        <v>0.33290509259259254</v>
      </c>
      <c r="J1171" s="43">
        <v>0.3</v>
      </c>
      <c r="K1171" s="2">
        <f>I1171-J1171</f>
        <v>3.2905092592592555E-2</v>
      </c>
      <c r="L1171" s="3"/>
      <c r="M1171" s="4">
        <f>F1171/I1171</f>
        <v>0.13326148176476724</v>
      </c>
      <c r="N1171" s="4">
        <f>I1171/J1171</f>
        <v>1.1096836419753084</v>
      </c>
    </row>
    <row r="1172" spans="1:14" x14ac:dyDescent="0.3">
      <c r="A1172" s="29">
        <v>46122</v>
      </c>
      <c r="B1172" s="8">
        <f>YEAR(A1172)</f>
        <v>2026</v>
      </c>
      <c r="C1172" s="27" t="str">
        <f>TEXT(A1172,"MMMM")</f>
        <v>abril</v>
      </c>
      <c r="D1172" s="30" t="s">
        <v>19</v>
      </c>
      <c r="E1172" s="30" t="s">
        <v>34</v>
      </c>
      <c r="F1172" s="31">
        <v>5.3761574074074073E-2</v>
      </c>
      <c r="G1172" s="31">
        <v>0.33497685185185183</v>
      </c>
      <c r="H1172" s="31">
        <v>0.66689814814814818</v>
      </c>
      <c r="I1172" s="43">
        <f>H1172-G1172</f>
        <v>0.33192129629629635</v>
      </c>
      <c r="J1172" s="43">
        <v>0.3</v>
      </c>
      <c r="K1172" s="2">
        <f>I1172-J1172</f>
        <v>3.1921296296296364E-2</v>
      </c>
      <c r="L1172" s="3"/>
      <c r="M1172" s="4">
        <f>F1172/I1172</f>
        <v>0.16197084873422132</v>
      </c>
      <c r="N1172" s="4">
        <f>I1172/J1172</f>
        <v>1.1064043209876546</v>
      </c>
    </row>
    <row r="1173" spans="1:14" x14ac:dyDescent="0.3">
      <c r="A1173" s="29">
        <v>46122</v>
      </c>
      <c r="B1173" s="8">
        <f>YEAR(A1173)</f>
        <v>2026</v>
      </c>
      <c r="C1173" s="27" t="str">
        <f>TEXT(A1173,"MMMM")</f>
        <v>abril</v>
      </c>
      <c r="D1173" s="30" t="s">
        <v>22</v>
      </c>
      <c r="E1173" s="30" t="s">
        <v>34</v>
      </c>
      <c r="F1173" s="31">
        <v>4.3148148148148151E-2</v>
      </c>
      <c r="G1173" s="31">
        <v>0.46560185185185188</v>
      </c>
      <c r="H1173" s="31">
        <v>0.75539351851851855</v>
      </c>
      <c r="I1173" s="43">
        <f>H1173-G1173</f>
        <v>0.28979166666666667</v>
      </c>
      <c r="J1173" s="43">
        <v>0.3</v>
      </c>
      <c r="K1173" s="2"/>
      <c r="L1173" s="3">
        <f>J1173-I1173</f>
        <v>1.0208333333333319E-2</v>
      </c>
      <c r="M1173" s="4">
        <f>F1173/I1173</f>
        <v>0.14889368160396199</v>
      </c>
      <c r="N1173" s="4">
        <f>I1173/J1173</f>
        <v>0.96597222222222223</v>
      </c>
    </row>
    <row r="1174" spans="1:14" x14ac:dyDescent="0.3">
      <c r="A1174" s="29">
        <v>46122</v>
      </c>
      <c r="B1174" s="8">
        <f>YEAR(A1174)</f>
        <v>2026</v>
      </c>
      <c r="C1174" s="27" t="str">
        <f>TEXT(A1174,"MMMM")</f>
        <v>abril</v>
      </c>
      <c r="D1174" s="30" t="s">
        <v>33</v>
      </c>
      <c r="E1174" s="30" t="s">
        <v>34</v>
      </c>
      <c r="F1174" s="31">
        <v>3.394675925925926E-2</v>
      </c>
      <c r="G1174" s="31">
        <v>0.33341435185185186</v>
      </c>
      <c r="H1174" s="31">
        <v>0.63381944444444449</v>
      </c>
      <c r="I1174" s="43">
        <f>H1174-G1174</f>
        <v>0.30040509259259263</v>
      </c>
      <c r="J1174" s="43">
        <v>0.3</v>
      </c>
      <c r="K1174" s="2">
        <f>I1174-J1174</f>
        <v>4.0509259259263741E-4</v>
      </c>
      <c r="L1174" s="3"/>
      <c r="M1174" s="4">
        <f>F1174/I1174</f>
        <v>0.1130032748988634</v>
      </c>
      <c r="N1174" s="4">
        <f>I1174/J1174</f>
        <v>1.0013503086419755</v>
      </c>
    </row>
    <row r="1175" spans="1:14" x14ac:dyDescent="0.3">
      <c r="A1175" s="29">
        <v>46122</v>
      </c>
      <c r="B1175" s="8">
        <f>YEAR(A1175)</f>
        <v>2026</v>
      </c>
      <c r="C1175" s="27" t="str">
        <f>TEXT(A1175,"MMMM")</f>
        <v>abril</v>
      </c>
      <c r="D1175" s="30" t="s">
        <v>24</v>
      </c>
      <c r="E1175" s="30" t="s">
        <v>34</v>
      </c>
      <c r="F1175" s="31">
        <v>4.1192129629629627E-2</v>
      </c>
      <c r="G1175" s="31">
        <v>0.33399305555555553</v>
      </c>
      <c r="H1175" s="31">
        <v>0.63440972222222225</v>
      </c>
      <c r="I1175" s="43">
        <f>H1175-G1175</f>
        <v>0.30041666666666672</v>
      </c>
      <c r="J1175" s="43">
        <v>0.3</v>
      </c>
      <c r="K1175" s="2">
        <f>I1175-J1175</f>
        <v>4.166666666667318E-4</v>
      </c>
      <c r="L1175" s="3"/>
      <c r="M1175" s="4">
        <f>F1175/I1175</f>
        <v>0.13711665896131911</v>
      </c>
      <c r="N1175" s="4">
        <f>I1175/J1175</f>
        <v>1.0013888888888891</v>
      </c>
    </row>
    <row r="1176" spans="1:14" x14ac:dyDescent="0.3">
      <c r="A1176" s="29">
        <v>46122</v>
      </c>
      <c r="B1176" s="8">
        <f>YEAR(A1176)</f>
        <v>2026</v>
      </c>
      <c r="C1176" s="27" t="str">
        <f>TEXT(A1176,"MMMM")</f>
        <v>abril</v>
      </c>
      <c r="D1176" s="30" t="s">
        <v>76</v>
      </c>
      <c r="E1176" s="30" t="s">
        <v>34</v>
      </c>
      <c r="F1176" s="31">
        <v>5.1307870370370372E-2</v>
      </c>
      <c r="G1176" s="31">
        <v>0.4619328703703704</v>
      </c>
      <c r="H1176" s="31">
        <v>0.75057870370370372</v>
      </c>
      <c r="I1176" s="43">
        <f>H1176-G1176</f>
        <v>0.28864583333333332</v>
      </c>
      <c r="J1176" s="43">
        <v>0.3</v>
      </c>
      <c r="K1176" s="2"/>
      <c r="L1176" s="3">
        <f>J1176-I1176</f>
        <v>1.1354166666666665E-2</v>
      </c>
      <c r="M1176" s="4">
        <f>F1176/I1176</f>
        <v>0.1777537190745419</v>
      </c>
      <c r="N1176" s="4">
        <f>I1176/J1176</f>
        <v>0.96215277777777775</v>
      </c>
    </row>
    <row r="1177" spans="1:14" x14ac:dyDescent="0.3">
      <c r="A1177" s="29">
        <v>46122</v>
      </c>
      <c r="B1177" s="8">
        <f>YEAR(A1177)</f>
        <v>2026</v>
      </c>
      <c r="C1177" s="27" t="str">
        <f>TEXT(A1177,"MMMM")</f>
        <v>abril</v>
      </c>
      <c r="D1177" s="30" t="s">
        <v>77</v>
      </c>
      <c r="E1177" s="30" t="s">
        <v>34</v>
      </c>
      <c r="F1177" s="31">
        <v>2.8159722222222221E-2</v>
      </c>
      <c r="G1177" s="31">
        <v>0.4599537037037037</v>
      </c>
      <c r="H1177" s="31">
        <v>0.75084490740740739</v>
      </c>
      <c r="I1177" s="43">
        <f>H1177-G1177</f>
        <v>0.29089120370370369</v>
      </c>
      <c r="J1177" s="43">
        <v>0.3</v>
      </c>
      <c r="K1177" s="2"/>
      <c r="L1177" s="3">
        <f>J1177-I1177</f>
        <v>9.1087962962962954E-3</v>
      </c>
      <c r="M1177" s="4">
        <f>F1177/I1177</f>
        <v>9.6804997413758809E-2</v>
      </c>
      <c r="N1177" s="4">
        <f>I1177/J1177</f>
        <v>0.96963734567901239</v>
      </c>
    </row>
    <row r="1178" spans="1:14" x14ac:dyDescent="0.3">
      <c r="A1178" s="29">
        <v>46122</v>
      </c>
      <c r="B1178" s="8">
        <f>YEAR(A1178)</f>
        <v>2026</v>
      </c>
      <c r="C1178" s="27" t="str">
        <f>TEXT(A1178,"MMMM")</f>
        <v>abril</v>
      </c>
      <c r="D1178" s="30" t="s">
        <v>25</v>
      </c>
      <c r="E1178" s="30" t="s">
        <v>21</v>
      </c>
      <c r="F1178" s="31">
        <v>4.4525462962962961E-2</v>
      </c>
      <c r="G1178" s="31">
        <v>0.33333333333333331</v>
      </c>
      <c r="H1178" s="31">
        <v>0.63378472222222226</v>
      </c>
      <c r="I1178" s="43">
        <f>H1178-G1178</f>
        <v>0.30045138888888895</v>
      </c>
      <c r="J1178" s="43">
        <v>0.3</v>
      </c>
      <c r="K1178" s="2">
        <f>I1178-J1178</f>
        <v>4.5138888888895945E-4</v>
      </c>
      <c r="L1178" s="3"/>
      <c r="M1178" s="4">
        <f>F1178/I1178</f>
        <v>0.1481952309410994</v>
      </c>
      <c r="N1178" s="4">
        <f>I1178/J1178</f>
        <v>1.0015046296296299</v>
      </c>
    </row>
    <row r="1179" spans="1:14" x14ac:dyDescent="0.3">
      <c r="A1179" s="29">
        <v>46122</v>
      </c>
      <c r="B1179" s="8">
        <f>YEAR(A1179)</f>
        <v>2026</v>
      </c>
      <c r="C1179" s="27" t="str">
        <f>TEXT(A1179,"MMMM")</f>
        <v>abril</v>
      </c>
      <c r="D1179" s="30" t="s">
        <v>27</v>
      </c>
      <c r="E1179" s="30" t="s">
        <v>34</v>
      </c>
      <c r="F1179" s="31">
        <v>3.4224537037037039E-2</v>
      </c>
      <c r="G1179" s="31">
        <v>0.33334490740740741</v>
      </c>
      <c r="H1179" s="31">
        <v>0.63372685185185185</v>
      </c>
      <c r="I1179" s="43">
        <f>H1179-G1179</f>
        <v>0.30038194444444444</v>
      </c>
      <c r="J1179" s="43">
        <v>0.3</v>
      </c>
      <c r="K1179" s="2">
        <f>I1179-J1179</f>
        <v>3.8194444444444864E-4</v>
      </c>
      <c r="L1179" s="3"/>
      <c r="M1179" s="4">
        <f>F1179/I1179</f>
        <v>0.11393673178437946</v>
      </c>
      <c r="N1179" s="4">
        <f>I1179/J1179</f>
        <v>1.0012731481481483</v>
      </c>
    </row>
    <row r="1180" spans="1:14" x14ac:dyDescent="0.3">
      <c r="A1180" s="29">
        <v>46122</v>
      </c>
      <c r="B1180" s="8">
        <f>YEAR(A1180)</f>
        <v>2026</v>
      </c>
      <c r="C1180" s="27" t="str">
        <f>TEXT(A1180,"MMMM")</f>
        <v>abril</v>
      </c>
      <c r="D1180" s="30" t="s">
        <v>68</v>
      </c>
      <c r="E1180" s="30" t="s">
        <v>21</v>
      </c>
      <c r="F1180" s="31">
        <v>6.0023148148148145E-2</v>
      </c>
      <c r="G1180" s="31">
        <v>0.46553240740740742</v>
      </c>
      <c r="H1180" s="31">
        <v>0.75035879629629632</v>
      </c>
      <c r="I1180" s="43">
        <f>H1180-G1180</f>
        <v>0.28482638888888889</v>
      </c>
      <c r="J1180" s="43">
        <v>0.3</v>
      </c>
      <c r="K1180" s="2"/>
      <c r="L1180" s="3">
        <f>J1180-I1180</f>
        <v>1.5173611111111096E-2</v>
      </c>
      <c r="M1180" s="4">
        <f>F1180/I1180</f>
        <v>0.21073590962655939</v>
      </c>
      <c r="N1180" s="4">
        <f>I1180/J1180</f>
        <v>0.94942129629629635</v>
      </c>
    </row>
    <row r="1181" spans="1:14" x14ac:dyDescent="0.3">
      <c r="A1181" s="29">
        <v>46122</v>
      </c>
      <c r="B1181" s="8">
        <f>YEAR(A1181)</f>
        <v>2026</v>
      </c>
      <c r="C1181" s="27" t="str">
        <f>TEXT(A1181,"MMMM")</f>
        <v>abril</v>
      </c>
      <c r="D1181" s="30" t="s">
        <v>32</v>
      </c>
      <c r="E1181" s="30" t="s">
        <v>34</v>
      </c>
      <c r="F1181" s="31">
        <v>4.7222222222222221E-2</v>
      </c>
      <c r="G1181" s="31">
        <v>0.46052083333333332</v>
      </c>
      <c r="H1181" s="31">
        <v>0.7503009259259259</v>
      </c>
      <c r="I1181" s="43">
        <f>H1181-G1181</f>
        <v>0.28978009259259258</v>
      </c>
      <c r="J1181" s="43">
        <v>0.3</v>
      </c>
      <c r="K1181" s="2"/>
      <c r="L1181" s="3">
        <f>J1181-I1181</f>
        <v>1.0219907407407414E-2</v>
      </c>
      <c r="M1181" s="4">
        <f>F1181/I1181</f>
        <v>0.16295882094500141</v>
      </c>
      <c r="N1181" s="4">
        <f>I1181/J1181</f>
        <v>0.96593364197530862</v>
      </c>
    </row>
    <row r="1182" spans="1:14" x14ac:dyDescent="0.3">
      <c r="A1182" s="29">
        <v>46122</v>
      </c>
      <c r="B1182" s="8">
        <f>YEAR(A1182)</f>
        <v>2026</v>
      </c>
      <c r="C1182" s="27" t="str">
        <f>TEXT(A1182,"MMMM")</f>
        <v>abril</v>
      </c>
      <c r="D1182" s="30" t="s">
        <v>29</v>
      </c>
      <c r="E1182" s="30" t="s">
        <v>34</v>
      </c>
      <c r="F1182" s="31">
        <v>6.1331018518518521E-2</v>
      </c>
      <c r="G1182" s="31">
        <v>0.33539351851851851</v>
      </c>
      <c r="H1182" s="31">
        <v>0.69645833333333329</v>
      </c>
      <c r="I1182" s="43">
        <f>H1182-G1182</f>
        <v>0.36106481481481478</v>
      </c>
      <c r="J1182" s="43">
        <v>0.3</v>
      </c>
      <c r="K1182" s="2">
        <f>I1182-J1182</f>
        <v>6.1064814814814794E-2</v>
      </c>
      <c r="L1182" s="3"/>
      <c r="M1182" s="4">
        <f>F1182/I1182</f>
        <v>0.16986152070778307</v>
      </c>
      <c r="N1182" s="4">
        <f>I1182/J1182</f>
        <v>1.2035493827160493</v>
      </c>
    </row>
    <row r="1183" spans="1:14" x14ac:dyDescent="0.3">
      <c r="A1183" s="29">
        <v>46126</v>
      </c>
      <c r="B1183" s="8">
        <f>YEAR(A1183)</f>
        <v>2026</v>
      </c>
      <c r="C1183" s="27" t="str">
        <f>TEXT(A1183,"MMMM")</f>
        <v>abril</v>
      </c>
      <c r="D1183" s="30" t="s">
        <v>16</v>
      </c>
      <c r="E1183" s="30" t="s">
        <v>34</v>
      </c>
      <c r="F1183" s="31">
        <v>4.3171296296296298E-2</v>
      </c>
      <c r="G1183" s="31">
        <v>0.33387731481481481</v>
      </c>
      <c r="H1183" s="31">
        <v>0.63386574074074076</v>
      </c>
      <c r="I1183" s="43">
        <f>H1183-G1183</f>
        <v>0.29998842592592595</v>
      </c>
      <c r="J1183" s="43">
        <v>0.3</v>
      </c>
      <c r="K1183" s="2"/>
      <c r="L1183" s="3">
        <f>J1183-I1183</f>
        <v>1.1574074074038876E-5</v>
      </c>
      <c r="M1183" s="4">
        <f>F1183/I1183</f>
        <v>0.14390987306609052</v>
      </c>
      <c r="N1183" s="4">
        <f>I1183/J1183</f>
        <v>0.9999614197530865</v>
      </c>
    </row>
    <row r="1184" spans="1:14" x14ac:dyDescent="0.3">
      <c r="A1184" s="29">
        <v>46126</v>
      </c>
      <c r="B1184" s="8">
        <f>YEAR(A1184)</f>
        <v>2026</v>
      </c>
      <c r="C1184" s="27" t="str">
        <f>TEXT(A1184,"MMMM")</f>
        <v>abril</v>
      </c>
      <c r="D1184" s="30" t="s">
        <v>47</v>
      </c>
      <c r="E1184" s="30" t="s">
        <v>34</v>
      </c>
      <c r="F1184" s="31">
        <v>4.3217592592592592E-2</v>
      </c>
      <c r="G1184" s="31">
        <v>0.53488425925925931</v>
      </c>
      <c r="H1184" s="31">
        <v>0.75108796296296299</v>
      </c>
      <c r="I1184" s="43">
        <f>H1184-G1184</f>
        <v>0.21620370370370368</v>
      </c>
      <c r="J1184" s="43">
        <v>0.25</v>
      </c>
      <c r="K1184" s="2"/>
      <c r="L1184" s="3">
        <f>J1184-I1184</f>
        <v>3.3796296296296324E-2</v>
      </c>
      <c r="M1184" s="4">
        <f>F1184/I1184</f>
        <v>0.19989293361884369</v>
      </c>
      <c r="N1184" s="4">
        <f>I1184/J1184</f>
        <v>0.8648148148148147</v>
      </c>
    </row>
    <row r="1185" spans="1:14" x14ac:dyDescent="0.3">
      <c r="A1185" s="29">
        <v>46126</v>
      </c>
      <c r="B1185" s="8">
        <f>YEAR(A1185)</f>
        <v>2026</v>
      </c>
      <c r="C1185" s="27" t="str">
        <f>TEXT(A1185,"MMMM")</f>
        <v>abril</v>
      </c>
      <c r="D1185" s="30" t="s">
        <v>19</v>
      </c>
      <c r="E1185" s="30" t="s">
        <v>34</v>
      </c>
      <c r="F1185" s="31">
        <v>4.2870370370370371E-2</v>
      </c>
      <c r="G1185" s="31">
        <v>0.35865740740740742</v>
      </c>
      <c r="H1185" s="31">
        <v>0.6334953703703704</v>
      </c>
      <c r="I1185" s="43">
        <f>H1185-G1185</f>
        <v>0.27483796296296298</v>
      </c>
      <c r="J1185" s="43">
        <v>0.3</v>
      </c>
      <c r="K1185" s="2"/>
      <c r="L1185" s="3">
        <f>J1185-I1185</f>
        <v>2.5162037037037011E-2</v>
      </c>
      <c r="M1185" s="4">
        <f>F1185/I1185</f>
        <v>0.1559841657542323</v>
      </c>
      <c r="N1185" s="4">
        <f>I1185/J1185</f>
        <v>0.91612654320987663</v>
      </c>
    </row>
    <row r="1186" spans="1:14" x14ac:dyDescent="0.3">
      <c r="A1186" s="29">
        <v>46126</v>
      </c>
      <c r="B1186" s="8">
        <f>YEAR(A1186)</f>
        <v>2026</v>
      </c>
      <c r="C1186" s="27" t="str">
        <f>TEXT(A1186,"MMMM")</f>
        <v>abril</v>
      </c>
      <c r="D1186" s="30" t="s">
        <v>69</v>
      </c>
      <c r="E1186" s="30" t="s">
        <v>34</v>
      </c>
      <c r="F1186" s="31">
        <v>3.9317129629629632E-2</v>
      </c>
      <c r="G1186" s="31">
        <v>0.37395833333333334</v>
      </c>
      <c r="H1186" s="31">
        <v>0.69640046296296299</v>
      </c>
      <c r="I1186" s="43">
        <f>H1186-G1186</f>
        <v>0.32244212962962965</v>
      </c>
      <c r="J1186" s="43">
        <v>0.3</v>
      </c>
      <c r="K1186" s="2">
        <f>I1186-J1186</f>
        <v>2.2442129629629659E-2</v>
      </c>
      <c r="L1186" s="3"/>
      <c r="M1186" s="4">
        <f>F1186/I1186</f>
        <v>0.12193546071287556</v>
      </c>
      <c r="N1186" s="4">
        <f>I1186/J1186</f>
        <v>1.0748070987654321</v>
      </c>
    </row>
    <row r="1187" spans="1:14" x14ac:dyDescent="0.3">
      <c r="A1187" s="29">
        <v>46126</v>
      </c>
      <c r="B1187" s="8">
        <f>YEAR(A1187)</f>
        <v>2026</v>
      </c>
      <c r="C1187" s="27" t="str">
        <f>TEXT(A1187,"MMMM")</f>
        <v>abril</v>
      </c>
      <c r="D1187" s="30" t="s">
        <v>22</v>
      </c>
      <c r="E1187" s="30" t="s">
        <v>34</v>
      </c>
      <c r="F1187" s="31">
        <v>4.0011574074074074E-2</v>
      </c>
      <c r="G1187" s="31">
        <v>0.45738425925925924</v>
      </c>
      <c r="H1187" s="31">
        <v>0.75057870370370372</v>
      </c>
      <c r="I1187" s="43">
        <f>H1187-G1187</f>
        <v>0.29319444444444448</v>
      </c>
      <c r="J1187" s="43">
        <v>0.3</v>
      </c>
      <c r="K1187" s="2"/>
      <c r="L1187" s="3">
        <f>J1187-I1187</f>
        <v>6.8055555555555092E-3</v>
      </c>
      <c r="M1187" s="4">
        <f>F1187/I1187</f>
        <v>0.13646770882678033</v>
      </c>
      <c r="N1187" s="4">
        <f>I1187/J1187</f>
        <v>0.97731481481481497</v>
      </c>
    </row>
    <row r="1188" spans="1:14" x14ac:dyDescent="0.3">
      <c r="A1188" s="29">
        <v>46126</v>
      </c>
      <c r="B1188" s="8">
        <f>YEAR(A1188)</f>
        <v>2026</v>
      </c>
      <c r="C1188" s="27" t="str">
        <f>TEXT(A1188,"MMMM")</f>
        <v>abril</v>
      </c>
      <c r="D1188" s="30" t="s">
        <v>33</v>
      </c>
      <c r="E1188" s="30" t="s">
        <v>34</v>
      </c>
      <c r="F1188" s="31">
        <v>3.6469907407407409E-2</v>
      </c>
      <c r="G1188" s="31">
        <v>0.33546296296296296</v>
      </c>
      <c r="H1188" s="31">
        <v>0.63438657407407406</v>
      </c>
      <c r="I1188" s="43">
        <f>H1188-G1188</f>
        <v>0.2989236111111111</v>
      </c>
      <c r="J1188" s="43">
        <v>0.3</v>
      </c>
      <c r="K1188" s="2"/>
      <c r="L1188" s="3">
        <f>J1188-I1188</f>
        <v>1.0763888888888906E-3</v>
      </c>
      <c r="M1188" s="4">
        <f>F1188/I1188</f>
        <v>0.12200410423200528</v>
      </c>
      <c r="N1188" s="4">
        <f>I1188/J1188</f>
        <v>0.99641203703703707</v>
      </c>
    </row>
    <row r="1189" spans="1:14" x14ac:dyDescent="0.3">
      <c r="A1189" s="29">
        <v>46126</v>
      </c>
      <c r="B1189" s="8">
        <f>YEAR(A1189)</f>
        <v>2026</v>
      </c>
      <c r="C1189" s="27" t="str">
        <f>TEXT(A1189,"MMMM")</f>
        <v>abril</v>
      </c>
      <c r="D1189" s="30" t="s">
        <v>24</v>
      </c>
      <c r="E1189" s="30" t="s">
        <v>34</v>
      </c>
      <c r="F1189" s="31">
        <v>3.6168981481481483E-2</v>
      </c>
      <c r="G1189" s="31">
        <v>0.3449652777777778</v>
      </c>
      <c r="H1189" s="31">
        <v>0.63674768518518521</v>
      </c>
      <c r="I1189" s="43">
        <f>H1189-G1189</f>
        <v>0.29178240740740741</v>
      </c>
      <c r="J1189" s="43">
        <v>0.3</v>
      </c>
      <c r="K1189" s="2"/>
      <c r="L1189" s="3">
        <f>J1189-I1189</f>
        <v>8.2175925925925819E-3</v>
      </c>
      <c r="M1189" s="4">
        <f>F1189/I1189</f>
        <v>0.1239587465291551</v>
      </c>
      <c r="N1189" s="4">
        <f>I1189/J1189</f>
        <v>0.9726080246913581</v>
      </c>
    </row>
    <row r="1190" spans="1:14" x14ac:dyDescent="0.3">
      <c r="A1190" s="29">
        <v>46126</v>
      </c>
      <c r="B1190" s="8">
        <f>YEAR(A1190)</f>
        <v>2026</v>
      </c>
      <c r="C1190" s="27" t="str">
        <f>TEXT(A1190,"MMMM")</f>
        <v>abril</v>
      </c>
      <c r="D1190" s="30" t="s">
        <v>76</v>
      </c>
      <c r="E1190" s="30" t="s">
        <v>34</v>
      </c>
      <c r="F1190" s="31">
        <v>4.8437500000000001E-2</v>
      </c>
      <c r="G1190" s="31">
        <v>0.45629629629629631</v>
      </c>
      <c r="H1190" s="31">
        <v>0.75138888888888888</v>
      </c>
      <c r="I1190" s="43">
        <f>H1190-G1190</f>
        <v>0.29509259259259257</v>
      </c>
      <c r="J1190" s="43">
        <v>0.3</v>
      </c>
      <c r="K1190" s="2"/>
      <c r="L1190" s="3">
        <f>J1190-I1190</f>
        <v>4.9074074074074159E-3</v>
      </c>
      <c r="M1190" s="4">
        <f>F1190/I1190</f>
        <v>0.16414339504235961</v>
      </c>
      <c r="N1190" s="4">
        <f>I1190/J1190</f>
        <v>0.98364197530864195</v>
      </c>
    </row>
    <row r="1191" spans="1:14" x14ac:dyDescent="0.3">
      <c r="A1191" s="29">
        <v>46126</v>
      </c>
      <c r="B1191" s="8">
        <f>YEAR(A1191)</f>
        <v>2026</v>
      </c>
      <c r="C1191" s="27" t="str">
        <f>TEXT(A1191,"MMMM")</f>
        <v>abril</v>
      </c>
      <c r="D1191" s="30" t="s">
        <v>77</v>
      </c>
      <c r="E1191" s="30" t="s">
        <v>34</v>
      </c>
      <c r="F1191" s="31">
        <v>2.5127314814814814E-2</v>
      </c>
      <c r="G1191" s="31">
        <v>0.47065972222222224</v>
      </c>
      <c r="H1191" s="31">
        <v>0.75115740740740744</v>
      </c>
      <c r="I1191" s="43">
        <f>H1191-G1191</f>
        <v>0.2804976851851852</v>
      </c>
      <c r="J1191" s="43">
        <v>0.3</v>
      </c>
      <c r="K1191" s="2"/>
      <c r="L1191" s="3">
        <f>J1191-I1191</f>
        <v>1.9502314814814792E-2</v>
      </c>
      <c r="M1191" s="4">
        <f>F1191/I1191</f>
        <v>8.9581184237672778E-2</v>
      </c>
      <c r="N1191" s="4">
        <f>I1191/J1191</f>
        <v>0.9349922839506174</v>
      </c>
    </row>
    <row r="1192" spans="1:14" x14ac:dyDescent="0.3">
      <c r="A1192" s="29">
        <v>46126</v>
      </c>
      <c r="B1192" s="8">
        <f>YEAR(A1192)</f>
        <v>2026</v>
      </c>
      <c r="C1192" s="27" t="str">
        <f>TEXT(A1192,"MMMM")</f>
        <v>abril</v>
      </c>
      <c r="D1192" s="30" t="s">
        <v>25</v>
      </c>
      <c r="E1192" s="30" t="s">
        <v>21</v>
      </c>
      <c r="F1192" s="31">
        <v>6.5185185185185179E-2</v>
      </c>
      <c r="G1192" s="31">
        <v>0.33359953703703704</v>
      </c>
      <c r="H1192" s="31">
        <v>0.65482638888888889</v>
      </c>
      <c r="I1192" s="43">
        <f>H1192-G1192</f>
        <v>0.32122685185185185</v>
      </c>
      <c r="J1192" s="43">
        <v>0.3</v>
      </c>
      <c r="K1192" s="2">
        <f>I1192-J1192</f>
        <v>2.1226851851851858E-2</v>
      </c>
      <c r="L1192" s="3"/>
      <c r="M1192" s="4">
        <f>F1192/I1192</f>
        <v>0.20292570440296892</v>
      </c>
      <c r="N1192" s="4">
        <f>I1192/J1192</f>
        <v>1.0707561728395063</v>
      </c>
    </row>
    <row r="1193" spans="1:14" x14ac:dyDescent="0.3">
      <c r="A1193" s="29">
        <v>46126</v>
      </c>
      <c r="B1193" s="8">
        <f>YEAR(A1193)</f>
        <v>2026</v>
      </c>
      <c r="C1193" s="27" t="str">
        <f>TEXT(A1193,"MMMM")</f>
        <v>abril</v>
      </c>
      <c r="D1193" s="30" t="s">
        <v>27</v>
      </c>
      <c r="E1193" s="30" t="s">
        <v>34</v>
      </c>
      <c r="F1193" s="31">
        <v>2.9618055555555557E-2</v>
      </c>
      <c r="G1193" s="31">
        <v>0.3371527777777778</v>
      </c>
      <c r="H1193" s="31">
        <v>0.6342592592592593</v>
      </c>
      <c r="I1193" s="43">
        <f>H1193-G1193</f>
        <v>0.2971064814814815</v>
      </c>
      <c r="J1193" s="43">
        <v>0.3</v>
      </c>
      <c r="K1193" s="2"/>
      <c r="L1193" s="3">
        <f>J1193-I1193</f>
        <v>2.8935185185184897E-3</v>
      </c>
      <c r="M1193" s="4">
        <f>F1193/I1193</f>
        <v>9.9688352162056876E-2</v>
      </c>
      <c r="N1193" s="4">
        <f>I1193/J1193</f>
        <v>0.99035493827160503</v>
      </c>
    </row>
    <row r="1194" spans="1:14" x14ac:dyDescent="0.3">
      <c r="A1194" s="29">
        <v>46126</v>
      </c>
      <c r="B1194" s="8">
        <f>YEAR(A1194)</f>
        <v>2026</v>
      </c>
      <c r="C1194" s="27" t="str">
        <f>TEXT(A1194,"MMMM")</f>
        <v>abril</v>
      </c>
      <c r="D1194" s="30" t="s">
        <v>68</v>
      </c>
      <c r="E1194" s="30" t="s">
        <v>21</v>
      </c>
      <c r="F1194" s="31">
        <v>4.6342592592592595E-2</v>
      </c>
      <c r="G1194" s="31">
        <v>0.45021990740740742</v>
      </c>
      <c r="H1194" s="31">
        <v>0.75023148148148144</v>
      </c>
      <c r="I1194" s="43">
        <f>H1194-G1194</f>
        <v>0.30001157407407403</v>
      </c>
      <c r="J1194" s="43">
        <v>0.3</v>
      </c>
      <c r="K1194" s="2">
        <f>I1194-J1194</f>
        <v>1.1574074074038876E-5</v>
      </c>
      <c r="L1194" s="3"/>
      <c r="M1194" s="4">
        <f>F1194/I1194</f>
        <v>0.15446934917634353</v>
      </c>
      <c r="N1194" s="4">
        <f>I1194/J1194</f>
        <v>1.0000385802469134</v>
      </c>
    </row>
    <row r="1195" spans="1:14" x14ac:dyDescent="0.3">
      <c r="A1195" s="29">
        <v>46126</v>
      </c>
      <c r="B1195" s="8">
        <f>YEAR(A1195)</f>
        <v>2026</v>
      </c>
      <c r="C1195" s="27" t="str">
        <f>TEXT(A1195,"MMMM")</f>
        <v>abril</v>
      </c>
      <c r="D1195" s="30" t="s">
        <v>32</v>
      </c>
      <c r="E1195" s="30" t="s">
        <v>34</v>
      </c>
      <c r="F1195" s="31">
        <v>4.386574074074074E-2</v>
      </c>
      <c r="G1195" s="31">
        <v>0.45098379629629631</v>
      </c>
      <c r="H1195" s="31">
        <v>0.7502199074074074</v>
      </c>
      <c r="I1195" s="43">
        <f>H1195-G1195</f>
        <v>0.29923611111111109</v>
      </c>
      <c r="J1195" s="43">
        <v>0.3</v>
      </c>
      <c r="K1195" s="2"/>
      <c r="L1195" s="3">
        <f>J1195-I1195</f>
        <v>7.6388888888889728E-4</v>
      </c>
      <c r="M1195" s="4">
        <f>F1195/I1195</f>
        <v>0.14659240349655761</v>
      </c>
      <c r="N1195" s="4">
        <f>I1195/J1195</f>
        <v>0.99745370370370368</v>
      </c>
    </row>
    <row r="1196" spans="1:14" x14ac:dyDescent="0.3">
      <c r="A1196" s="29">
        <v>46126</v>
      </c>
      <c r="B1196" s="8">
        <f>YEAR(A1196)</f>
        <v>2026</v>
      </c>
      <c r="C1196" s="27" t="str">
        <f>TEXT(A1196,"MMMM")</f>
        <v>abril</v>
      </c>
      <c r="D1196" s="30" t="s">
        <v>29</v>
      </c>
      <c r="E1196" s="30" t="s">
        <v>34</v>
      </c>
      <c r="F1196" s="31">
        <v>4.4791666666666667E-2</v>
      </c>
      <c r="G1196" s="31">
        <v>0.34233796296296298</v>
      </c>
      <c r="H1196" s="31">
        <v>0.63460648148148147</v>
      </c>
      <c r="I1196" s="43">
        <f>H1196-G1196</f>
        <v>0.29226851851851848</v>
      </c>
      <c r="J1196" s="43">
        <v>0.3</v>
      </c>
      <c r="K1196" s="2"/>
      <c r="L1196" s="3">
        <f>J1196-I1196</f>
        <v>7.7314814814815058E-3</v>
      </c>
      <c r="M1196" s="4">
        <f>F1196/I1196</f>
        <v>0.15325518770790433</v>
      </c>
      <c r="N1196" s="4">
        <f>I1196/J1196</f>
        <v>0.97422839506172831</v>
      </c>
    </row>
    <row r="1197" spans="1:14" x14ac:dyDescent="0.3">
      <c r="A1197" s="29">
        <v>46127</v>
      </c>
      <c r="B1197" s="8">
        <f>YEAR(A1197)</f>
        <v>2026</v>
      </c>
      <c r="C1197" s="27" t="str">
        <f>TEXT(A1197,"MMMM")</f>
        <v>abril</v>
      </c>
      <c r="D1197" s="30" t="s">
        <v>16</v>
      </c>
      <c r="E1197" s="30" t="s">
        <v>34</v>
      </c>
      <c r="F1197" s="31">
        <v>4.4155092592592593E-2</v>
      </c>
      <c r="G1197" s="31">
        <v>0.3349421296296296</v>
      </c>
      <c r="H1197" s="31">
        <v>0.63462962962962965</v>
      </c>
      <c r="I1197" s="43">
        <f>H1197-G1197</f>
        <v>0.29968750000000005</v>
      </c>
      <c r="J1197" s="43">
        <v>0.3</v>
      </c>
      <c r="K1197" s="2"/>
      <c r="L1197" s="3">
        <f>J1197-I1197</f>
        <v>3.1249999999993783E-4</v>
      </c>
      <c r="M1197" s="4">
        <f>F1197/I1197</f>
        <v>0.14733711814003783</v>
      </c>
      <c r="N1197" s="4">
        <f>I1197/J1197</f>
        <v>0.9989583333333335</v>
      </c>
    </row>
    <row r="1198" spans="1:14" x14ac:dyDescent="0.3">
      <c r="A1198" s="29">
        <v>46127</v>
      </c>
      <c r="B1198" s="8">
        <f>YEAR(A1198)</f>
        <v>2026</v>
      </c>
      <c r="C1198" s="27" t="str">
        <f>TEXT(A1198,"MMMM")</f>
        <v>abril</v>
      </c>
      <c r="D1198" s="30" t="s">
        <v>47</v>
      </c>
      <c r="E1198" s="30" t="s">
        <v>34</v>
      </c>
      <c r="F1198" s="31">
        <v>4.5127314814814815E-2</v>
      </c>
      <c r="G1198" s="31">
        <v>0.52380787037037035</v>
      </c>
      <c r="H1198" s="31">
        <v>0.75034722222222228</v>
      </c>
      <c r="I1198" s="43">
        <f>H1198-G1198</f>
        <v>0.22653935185185192</v>
      </c>
      <c r="J1198" s="43">
        <v>0.25</v>
      </c>
      <c r="K1198" s="2"/>
      <c r="L1198" s="3">
        <f>J1198-I1198</f>
        <v>2.3460648148148078E-2</v>
      </c>
      <c r="M1198" s="4">
        <f>F1198/I1198</f>
        <v>0.19920298370203846</v>
      </c>
      <c r="N1198" s="4">
        <f>I1198/J1198</f>
        <v>0.90615740740740769</v>
      </c>
    </row>
    <row r="1199" spans="1:14" x14ac:dyDescent="0.3">
      <c r="A1199" s="29">
        <v>46127</v>
      </c>
      <c r="B1199" s="8">
        <f>YEAR(A1199)</f>
        <v>2026</v>
      </c>
      <c r="C1199" s="27" t="str">
        <f>TEXT(A1199,"MMMM")</f>
        <v>abril</v>
      </c>
      <c r="D1199" s="30" t="s">
        <v>19</v>
      </c>
      <c r="E1199" s="30" t="s">
        <v>34</v>
      </c>
      <c r="F1199" s="31">
        <v>4.9895833333333334E-2</v>
      </c>
      <c r="G1199" s="31">
        <v>0.33812500000000001</v>
      </c>
      <c r="H1199" s="31">
        <v>0.63428240740740738</v>
      </c>
      <c r="I1199" s="43">
        <f>H1199-G1199</f>
        <v>0.29615740740740737</v>
      </c>
      <c r="J1199" s="43">
        <v>0.3</v>
      </c>
      <c r="K1199" s="2"/>
      <c r="L1199" s="3">
        <f>J1199-I1199</f>
        <v>3.8425925925926196E-3</v>
      </c>
      <c r="M1199" s="4">
        <f>F1199/I1199</f>
        <v>0.16847741128654059</v>
      </c>
      <c r="N1199" s="4">
        <f>I1199/J1199</f>
        <v>0.98719135802469127</v>
      </c>
    </row>
    <row r="1200" spans="1:14" x14ac:dyDescent="0.3">
      <c r="A1200" s="29">
        <v>46127</v>
      </c>
      <c r="B1200" s="8">
        <f>YEAR(A1200)</f>
        <v>2026</v>
      </c>
      <c r="C1200" s="27" t="str">
        <f>TEXT(A1200,"MMMM")</f>
        <v>abril</v>
      </c>
      <c r="D1200" s="30" t="s">
        <v>69</v>
      </c>
      <c r="E1200" s="30" t="s">
        <v>34</v>
      </c>
      <c r="F1200" s="31">
        <v>4.7662037037037037E-2</v>
      </c>
      <c r="G1200" s="31">
        <v>0.33489583333333334</v>
      </c>
      <c r="H1200" s="31">
        <v>0.69701388888888893</v>
      </c>
      <c r="I1200" s="43">
        <f>H1200-G1200</f>
        <v>0.3621180555555556</v>
      </c>
      <c r="J1200" s="43">
        <v>0.3</v>
      </c>
      <c r="K1200" s="2">
        <f>I1200-J1200</f>
        <v>6.2118055555555607E-2</v>
      </c>
      <c r="L1200" s="3"/>
      <c r="M1200" s="4">
        <f>F1200/I1200</f>
        <v>0.13162016172851343</v>
      </c>
      <c r="N1200" s="4">
        <f>I1200/J1200</f>
        <v>1.2070601851851854</v>
      </c>
    </row>
    <row r="1201" spans="1:14" x14ac:dyDescent="0.3">
      <c r="A1201" s="29">
        <v>46127</v>
      </c>
      <c r="B1201" s="8">
        <f>YEAR(A1201)</f>
        <v>2026</v>
      </c>
      <c r="C1201" s="27" t="str">
        <f>TEXT(A1201,"MMMM")</f>
        <v>abril</v>
      </c>
      <c r="D1201" s="30" t="s">
        <v>22</v>
      </c>
      <c r="E1201" s="30" t="s">
        <v>34</v>
      </c>
      <c r="F1201" s="31">
        <v>4.2164351851851849E-2</v>
      </c>
      <c r="G1201" s="31">
        <v>0.44449074074074074</v>
      </c>
      <c r="H1201" s="31">
        <v>0.75173611111111116</v>
      </c>
      <c r="I1201" s="43">
        <f>H1201-G1201</f>
        <v>0.30724537037037042</v>
      </c>
      <c r="J1201" s="43">
        <v>0.3</v>
      </c>
      <c r="K1201" s="2">
        <f>I1201-J1201</f>
        <v>7.2453703703704297E-3</v>
      </c>
      <c r="L1201" s="3"/>
      <c r="M1201" s="4">
        <f>F1201/I1201</f>
        <v>0.13723348150380468</v>
      </c>
      <c r="N1201" s="4">
        <f>I1201/J1201</f>
        <v>1.0241512345679014</v>
      </c>
    </row>
    <row r="1202" spans="1:14" x14ac:dyDescent="0.3">
      <c r="A1202" s="29">
        <v>46127</v>
      </c>
      <c r="B1202" s="8">
        <f>YEAR(A1202)</f>
        <v>2026</v>
      </c>
      <c r="C1202" s="27" t="str">
        <f>TEXT(A1202,"MMMM")</f>
        <v>abril</v>
      </c>
      <c r="D1202" s="30" t="s">
        <v>33</v>
      </c>
      <c r="E1202" s="30" t="s">
        <v>34</v>
      </c>
      <c r="F1202" s="31">
        <v>3.5451388888888886E-2</v>
      </c>
      <c r="G1202" s="31">
        <v>0.33333333333333331</v>
      </c>
      <c r="H1202" s="31">
        <v>0.63373842592592589</v>
      </c>
      <c r="I1202" s="43">
        <f>H1202-G1202</f>
        <v>0.30040509259259257</v>
      </c>
      <c r="J1202" s="43">
        <v>0.3</v>
      </c>
      <c r="K1202" s="2">
        <f>I1202-J1202</f>
        <v>4.050925925925819E-4</v>
      </c>
      <c r="L1202" s="3"/>
      <c r="M1202" s="4">
        <f>F1202/I1202</f>
        <v>0.11801194374879599</v>
      </c>
      <c r="N1202" s="4">
        <f>I1202/J1202</f>
        <v>1.0013503086419753</v>
      </c>
    </row>
    <row r="1203" spans="1:14" x14ac:dyDescent="0.3">
      <c r="A1203" s="29">
        <v>46127</v>
      </c>
      <c r="B1203" s="8">
        <f>YEAR(A1203)</f>
        <v>2026</v>
      </c>
      <c r="C1203" s="27" t="str">
        <f>TEXT(A1203,"MMMM")</f>
        <v>abril</v>
      </c>
      <c r="D1203" s="30" t="s">
        <v>24</v>
      </c>
      <c r="E1203" s="30" t="s">
        <v>34</v>
      </c>
      <c r="F1203" s="31">
        <v>3.9699074074074074E-2</v>
      </c>
      <c r="G1203" s="31">
        <v>0.33997685185185184</v>
      </c>
      <c r="H1203" s="31">
        <v>0.63437500000000002</v>
      </c>
      <c r="I1203" s="43">
        <f>H1203-G1203</f>
        <v>0.29439814814814819</v>
      </c>
      <c r="J1203" s="43">
        <v>0.3</v>
      </c>
      <c r="K1203" s="2"/>
      <c r="L1203" s="3">
        <f>J1203-I1203</f>
        <v>5.6018518518518023E-3</v>
      </c>
      <c r="M1203" s="4">
        <f>F1203/I1203</f>
        <v>0.13484824657965086</v>
      </c>
      <c r="N1203" s="4">
        <f>I1203/J1203</f>
        <v>0.98132716049382729</v>
      </c>
    </row>
    <row r="1204" spans="1:14" x14ac:dyDescent="0.3">
      <c r="A1204" s="29">
        <v>46127</v>
      </c>
      <c r="B1204" s="8">
        <f>YEAR(A1204)</f>
        <v>2026</v>
      </c>
      <c r="C1204" s="27" t="str">
        <f>TEXT(A1204,"MMMM")</f>
        <v>abril</v>
      </c>
      <c r="D1204" s="30" t="s">
        <v>77</v>
      </c>
      <c r="E1204" s="30" t="s">
        <v>34</v>
      </c>
      <c r="F1204" s="31">
        <v>2.9178240740740741E-2</v>
      </c>
      <c r="G1204" s="31">
        <v>0.45444444444444443</v>
      </c>
      <c r="H1204" s="31">
        <v>0.75041666666666662</v>
      </c>
      <c r="I1204" s="43">
        <f>H1204-G1204</f>
        <v>0.29597222222222219</v>
      </c>
      <c r="J1204" s="43">
        <v>0.3</v>
      </c>
      <c r="K1204" s="2"/>
      <c r="L1204" s="3">
        <f>J1204-I1204</f>
        <v>4.0277777777777968E-3</v>
      </c>
      <c r="M1204" s="4">
        <f>F1204/I1204</f>
        <v>9.8584389175660883E-2</v>
      </c>
      <c r="N1204" s="4">
        <f>I1204/J1204</f>
        <v>0.98657407407407405</v>
      </c>
    </row>
    <row r="1205" spans="1:14" x14ac:dyDescent="0.3">
      <c r="A1205" s="29">
        <v>46127</v>
      </c>
      <c r="B1205" s="8">
        <f>YEAR(A1205)</f>
        <v>2026</v>
      </c>
      <c r="C1205" s="27" t="str">
        <f>TEXT(A1205,"MMMM")</f>
        <v>abril</v>
      </c>
      <c r="D1205" s="30" t="s">
        <v>25</v>
      </c>
      <c r="E1205" s="30" t="s">
        <v>21</v>
      </c>
      <c r="F1205" s="31">
        <v>5.7615740740740738E-2</v>
      </c>
      <c r="G1205" s="31">
        <v>0.33427083333333335</v>
      </c>
      <c r="H1205" s="31">
        <v>0.65490740740740738</v>
      </c>
      <c r="I1205" s="43">
        <f>H1205-G1205</f>
        <v>0.32063657407407403</v>
      </c>
      <c r="J1205" s="43">
        <v>0.3</v>
      </c>
      <c r="K1205" s="2">
        <f>I1205-J1205</f>
        <v>2.0636574074074043E-2</v>
      </c>
      <c r="L1205" s="3"/>
      <c r="M1205" s="4">
        <f>F1205/I1205</f>
        <v>0.17969173013753026</v>
      </c>
      <c r="N1205" s="4">
        <f>I1205/J1205</f>
        <v>1.0687885802469135</v>
      </c>
    </row>
    <row r="1206" spans="1:14" x14ac:dyDescent="0.3">
      <c r="A1206" s="29">
        <v>46127</v>
      </c>
      <c r="B1206" s="8">
        <f>YEAR(A1206)</f>
        <v>2026</v>
      </c>
      <c r="C1206" s="27" t="str">
        <f>TEXT(A1206,"MMMM")</f>
        <v>abril</v>
      </c>
      <c r="D1206" s="30" t="s">
        <v>27</v>
      </c>
      <c r="E1206" s="30" t="s">
        <v>34</v>
      </c>
      <c r="F1206" s="31">
        <v>3.8773148148148147E-2</v>
      </c>
      <c r="G1206" s="31">
        <v>0.33371527777777776</v>
      </c>
      <c r="H1206" s="31">
        <v>0.63377314814814811</v>
      </c>
      <c r="I1206" s="43">
        <f>H1206-G1206</f>
        <v>0.30005787037037035</v>
      </c>
      <c r="J1206" s="43">
        <v>0.3</v>
      </c>
      <c r="K1206" s="2">
        <f>I1206-J1206</f>
        <v>5.7870370370360913E-5</v>
      </c>
      <c r="L1206" s="3"/>
      <c r="M1206" s="4">
        <f>F1206/I1206</f>
        <v>0.12921890067502412</v>
      </c>
      <c r="N1206" s="4">
        <f>I1206/J1206</f>
        <v>1.0001929012345678</v>
      </c>
    </row>
    <row r="1207" spans="1:14" x14ac:dyDescent="0.3">
      <c r="A1207" s="29">
        <v>46127</v>
      </c>
      <c r="B1207" s="8">
        <f>YEAR(A1207)</f>
        <v>2026</v>
      </c>
      <c r="C1207" s="27" t="str">
        <f>TEXT(A1207,"MMMM")</f>
        <v>abril</v>
      </c>
      <c r="D1207" s="30" t="s">
        <v>68</v>
      </c>
      <c r="E1207" s="30" t="s">
        <v>21</v>
      </c>
      <c r="F1207" s="31">
        <v>4.7083333333333331E-2</v>
      </c>
      <c r="G1207" s="31">
        <v>0.45262731481481483</v>
      </c>
      <c r="H1207" s="31">
        <v>0.75035879629629632</v>
      </c>
      <c r="I1207" s="43">
        <f>H1207-G1207</f>
        <v>0.29773148148148149</v>
      </c>
      <c r="J1207" s="43">
        <v>0.3</v>
      </c>
      <c r="K1207" s="2"/>
      <c r="L1207" s="3">
        <f>J1207-I1207</f>
        <v>2.2685185185185031E-3</v>
      </c>
      <c r="M1207" s="4">
        <f>F1207/I1207</f>
        <v>0.15814025812470844</v>
      </c>
      <c r="N1207" s="4">
        <f>I1207/J1207</f>
        <v>0.99243827160493836</v>
      </c>
    </row>
    <row r="1208" spans="1:14" x14ac:dyDescent="0.3">
      <c r="A1208" s="29">
        <v>46127</v>
      </c>
      <c r="B1208" s="8">
        <f>YEAR(A1208)</f>
        <v>2026</v>
      </c>
      <c r="C1208" s="27" t="str">
        <f>TEXT(A1208,"MMMM")</f>
        <v>abril</v>
      </c>
      <c r="D1208" s="30" t="s">
        <v>32</v>
      </c>
      <c r="E1208" s="30" t="s">
        <v>34</v>
      </c>
      <c r="F1208" s="31">
        <v>4.1990740740740738E-2</v>
      </c>
      <c r="G1208" s="31">
        <v>0.4523611111111111</v>
      </c>
      <c r="H1208" s="31">
        <v>0.75028935185185186</v>
      </c>
      <c r="I1208" s="43">
        <f>H1208-G1208</f>
        <v>0.29792824074074076</v>
      </c>
      <c r="J1208" s="43">
        <v>0.3</v>
      </c>
      <c r="K1208" s="2"/>
      <c r="L1208" s="3">
        <f>J1208-I1208</f>
        <v>2.0717592592592315E-3</v>
      </c>
      <c r="M1208" s="4">
        <f>F1208/I1208</f>
        <v>0.14094246532768734</v>
      </c>
      <c r="N1208" s="4">
        <f>I1208/J1208</f>
        <v>0.99309413580246919</v>
      </c>
    </row>
    <row r="1209" spans="1:14" x14ac:dyDescent="0.3">
      <c r="A1209" s="29">
        <v>46127</v>
      </c>
      <c r="B1209" s="8">
        <f>YEAR(A1209)</f>
        <v>2026</v>
      </c>
      <c r="C1209" s="27" t="str">
        <f>TEXT(A1209,"MMMM")</f>
        <v>abril</v>
      </c>
      <c r="D1209" s="30" t="s">
        <v>29</v>
      </c>
      <c r="E1209" s="30" t="s">
        <v>34</v>
      </c>
      <c r="F1209" s="31">
        <v>4.9224537037037039E-2</v>
      </c>
      <c r="G1209" s="31">
        <v>0.33501157407407406</v>
      </c>
      <c r="H1209" s="31">
        <v>0.6338773148148148</v>
      </c>
      <c r="I1209" s="43">
        <f>H1209-G1209</f>
        <v>0.29886574074074074</v>
      </c>
      <c r="J1209" s="43">
        <v>0.3</v>
      </c>
      <c r="K1209" s="2"/>
      <c r="L1209" s="3">
        <f>J1209-I1209</f>
        <v>1.1342592592592515E-3</v>
      </c>
      <c r="M1209" s="4">
        <f>F1209/I1209</f>
        <v>0.16470451552939355</v>
      </c>
      <c r="N1209" s="4">
        <f>I1209/J1209</f>
        <v>0.99621913580246912</v>
      </c>
    </row>
    <row r="1210" spans="1:14" x14ac:dyDescent="0.3">
      <c r="A1210" s="29">
        <v>46128</v>
      </c>
      <c r="B1210" s="8">
        <f>YEAR(A1210)</f>
        <v>2026</v>
      </c>
      <c r="C1210" s="27" t="str">
        <f>TEXT(A1210,"MMMM")</f>
        <v>abril</v>
      </c>
      <c r="D1210" s="30" t="s">
        <v>16</v>
      </c>
      <c r="E1210" s="30" t="s">
        <v>34</v>
      </c>
      <c r="F1210" s="31">
        <v>4.3124999999999997E-2</v>
      </c>
      <c r="G1210" s="31">
        <v>0.33406249999999998</v>
      </c>
      <c r="H1210" s="31">
        <v>0.63406249999999997</v>
      </c>
      <c r="I1210" s="43">
        <f>H1210-G1210</f>
        <v>0.3</v>
      </c>
      <c r="J1210" s="43">
        <v>0.3</v>
      </c>
      <c r="K1210" s="2"/>
      <c r="L1210" s="3">
        <f>J1210-I1210</f>
        <v>0</v>
      </c>
      <c r="M1210" s="4">
        <f>F1210/I1210</f>
        <v>0.14374999999999999</v>
      </c>
      <c r="N1210" s="4">
        <f>I1210/J1210</f>
        <v>1</v>
      </c>
    </row>
    <row r="1211" spans="1:14" x14ac:dyDescent="0.3">
      <c r="A1211" s="29">
        <v>46128</v>
      </c>
      <c r="B1211" s="8">
        <f>YEAR(A1211)</f>
        <v>2026</v>
      </c>
      <c r="C1211" s="27" t="str">
        <f>TEXT(A1211,"MMMM")</f>
        <v>abril</v>
      </c>
      <c r="D1211" s="30" t="s">
        <v>47</v>
      </c>
      <c r="E1211" s="30" t="s">
        <v>34</v>
      </c>
      <c r="F1211" s="31">
        <v>4.4421296296296299E-2</v>
      </c>
      <c r="G1211" s="31">
        <v>0.54123842592592597</v>
      </c>
      <c r="H1211" s="31">
        <v>0.75028935185185186</v>
      </c>
      <c r="I1211" s="43">
        <f>H1211-G1211</f>
        <v>0.20905092592592589</v>
      </c>
      <c r="J1211" s="43">
        <v>0.25</v>
      </c>
      <c r="K1211" s="2"/>
      <c r="L1211" s="3">
        <f>J1211-I1211</f>
        <v>4.094907407407411E-2</v>
      </c>
      <c r="M1211" s="4">
        <f>F1211/I1211</f>
        <v>0.21249031115048173</v>
      </c>
      <c r="N1211" s="4">
        <f>I1211/J1211</f>
        <v>0.83620370370370356</v>
      </c>
    </row>
    <row r="1212" spans="1:14" x14ac:dyDescent="0.3">
      <c r="A1212" s="29">
        <v>46128</v>
      </c>
      <c r="B1212" s="8">
        <f>YEAR(A1212)</f>
        <v>2026</v>
      </c>
      <c r="C1212" s="27" t="str">
        <f>TEXT(A1212,"MMMM")</f>
        <v>abril</v>
      </c>
      <c r="D1212" s="30" t="s">
        <v>19</v>
      </c>
      <c r="E1212" s="30" t="s">
        <v>34</v>
      </c>
      <c r="F1212" s="31">
        <v>5.108796296296296E-2</v>
      </c>
      <c r="G1212" s="31">
        <v>0.34704861111111113</v>
      </c>
      <c r="H1212" s="31">
        <v>0.63372685185185185</v>
      </c>
      <c r="I1212" s="43">
        <f>H1212-G1212</f>
        <v>0.28667824074074072</v>
      </c>
      <c r="J1212" s="43">
        <v>0.3</v>
      </c>
      <c r="K1212" s="2"/>
      <c r="L1212" s="3">
        <f>J1212-I1212</f>
        <v>1.3321759259259269E-2</v>
      </c>
      <c r="M1212" s="4">
        <f>F1212/I1212</f>
        <v>0.17820662925430983</v>
      </c>
      <c r="N1212" s="4">
        <f>I1212/J1212</f>
        <v>0.9555941358024691</v>
      </c>
    </row>
    <row r="1213" spans="1:14" x14ac:dyDescent="0.3">
      <c r="A1213" s="29">
        <v>46128</v>
      </c>
      <c r="B1213" s="8">
        <f>YEAR(A1213)</f>
        <v>2026</v>
      </c>
      <c r="C1213" s="27" t="str">
        <f>TEXT(A1213,"MMMM")</f>
        <v>abril</v>
      </c>
      <c r="D1213" s="30" t="s">
        <v>69</v>
      </c>
      <c r="E1213" s="30" t="s">
        <v>34</v>
      </c>
      <c r="F1213" s="31">
        <v>4.2175925925925929E-2</v>
      </c>
      <c r="G1213" s="31">
        <v>0.33888888888888891</v>
      </c>
      <c r="H1213" s="31">
        <v>0.63424768518518515</v>
      </c>
      <c r="I1213" s="43">
        <f>H1213-G1213</f>
        <v>0.29535879629629624</v>
      </c>
      <c r="J1213" s="43">
        <v>0.3</v>
      </c>
      <c r="K1213" s="2"/>
      <c r="L1213" s="3">
        <f>J1213-I1213</f>
        <v>4.6412037037037446E-3</v>
      </c>
      <c r="M1213" s="4">
        <f>F1213/I1213</f>
        <v>0.14279556408950198</v>
      </c>
      <c r="N1213" s="4">
        <f>I1213/J1213</f>
        <v>0.98452932098765422</v>
      </c>
    </row>
    <row r="1214" spans="1:14" x14ac:dyDescent="0.3">
      <c r="A1214" s="29">
        <v>46128</v>
      </c>
      <c r="B1214" s="8">
        <f>YEAR(A1214)</f>
        <v>2026</v>
      </c>
      <c r="C1214" s="27" t="str">
        <f>TEXT(A1214,"MMMM")</f>
        <v>abril</v>
      </c>
      <c r="D1214" s="30" t="s">
        <v>22</v>
      </c>
      <c r="E1214" s="30" t="s">
        <v>34</v>
      </c>
      <c r="F1214" s="31">
        <v>4.2569444444444444E-2</v>
      </c>
      <c r="G1214" s="31">
        <v>0.44966435185185183</v>
      </c>
      <c r="H1214" s="31">
        <v>0.75412037037037039</v>
      </c>
      <c r="I1214" s="43">
        <f>H1214-G1214</f>
        <v>0.30445601851851856</v>
      </c>
      <c r="J1214" s="43">
        <v>0.3</v>
      </c>
      <c r="K1214" s="2">
        <f>I1214-J1214</f>
        <v>4.4560185185185675E-3</v>
      </c>
      <c r="L1214" s="3"/>
      <c r="M1214" s="4">
        <f>F1214/I1214</f>
        <v>0.139821326743965</v>
      </c>
      <c r="N1214" s="4">
        <f>I1214/J1214</f>
        <v>1.0148533950617287</v>
      </c>
    </row>
    <row r="1215" spans="1:14" x14ac:dyDescent="0.3">
      <c r="A1215" s="29">
        <v>46128</v>
      </c>
      <c r="B1215" s="8">
        <f>YEAR(A1215)</f>
        <v>2026</v>
      </c>
      <c r="C1215" s="27" t="str">
        <f>TEXT(A1215,"MMMM")</f>
        <v>abril</v>
      </c>
      <c r="D1215" s="30" t="s">
        <v>33</v>
      </c>
      <c r="E1215" s="30" t="s">
        <v>34</v>
      </c>
      <c r="F1215" s="31">
        <v>3.4699074074074077E-2</v>
      </c>
      <c r="G1215" s="31">
        <v>0.33358796296296295</v>
      </c>
      <c r="H1215" s="31">
        <v>0.66707175925925921</v>
      </c>
      <c r="I1215" s="43">
        <f>H1215-G1215</f>
        <v>0.33348379629629626</v>
      </c>
      <c r="J1215" s="43">
        <v>0.3</v>
      </c>
      <c r="K1215" s="2">
        <f>I1215-J1215</f>
        <v>3.3483796296296275E-2</v>
      </c>
      <c r="L1215" s="3"/>
      <c r="M1215" s="4">
        <f>F1215/I1215</f>
        <v>0.10405025509318712</v>
      </c>
      <c r="N1215" s="4">
        <f>I1215/J1215</f>
        <v>1.1116126543209877</v>
      </c>
    </row>
    <row r="1216" spans="1:14" x14ac:dyDescent="0.3">
      <c r="A1216" s="29">
        <v>46128</v>
      </c>
      <c r="B1216" s="8">
        <f>YEAR(A1216)</f>
        <v>2026</v>
      </c>
      <c r="C1216" s="27" t="str">
        <f>TEXT(A1216,"MMMM")</f>
        <v>abril</v>
      </c>
      <c r="D1216" s="30" t="s">
        <v>24</v>
      </c>
      <c r="E1216" s="30" t="s">
        <v>34</v>
      </c>
      <c r="F1216" s="31">
        <v>5.5115740740740743E-2</v>
      </c>
      <c r="G1216" s="31">
        <v>0.34755787037037039</v>
      </c>
      <c r="H1216" s="31">
        <v>0.63512731481481477</v>
      </c>
      <c r="I1216" s="43">
        <f>H1216-G1216</f>
        <v>0.28756944444444438</v>
      </c>
      <c r="J1216" s="43">
        <v>0.3</v>
      </c>
      <c r="K1216" s="2"/>
      <c r="L1216" s="3">
        <f>J1216-I1216</f>
        <v>1.2430555555555611E-2</v>
      </c>
      <c r="M1216" s="4">
        <f>F1216/I1216</f>
        <v>0.19166062947758195</v>
      </c>
      <c r="N1216" s="4">
        <f>I1216/J1216</f>
        <v>0.95856481481481459</v>
      </c>
    </row>
    <row r="1217" spans="1:14" x14ac:dyDescent="0.3">
      <c r="A1217" s="29">
        <v>46128</v>
      </c>
      <c r="B1217" s="8">
        <f>YEAR(A1217)</f>
        <v>2026</v>
      </c>
      <c r="C1217" s="27" t="str">
        <f>TEXT(A1217,"MMMM")</f>
        <v>abril</v>
      </c>
      <c r="D1217" s="30" t="s">
        <v>76</v>
      </c>
      <c r="E1217" s="30" t="s">
        <v>34</v>
      </c>
      <c r="F1217" s="31">
        <v>3.6828703703703704E-2</v>
      </c>
      <c r="G1217" s="31">
        <v>0.45656249999999998</v>
      </c>
      <c r="H1217" s="31">
        <v>0.75086805555555558</v>
      </c>
      <c r="I1217" s="43">
        <f>H1217-G1217</f>
        <v>0.2943055555555556</v>
      </c>
      <c r="J1217" s="43">
        <v>0.3</v>
      </c>
      <c r="K1217" s="2"/>
      <c r="L1217" s="3">
        <f>J1217-I1217</f>
        <v>5.6944444444443909E-3</v>
      </c>
      <c r="M1217" s="4">
        <f>F1217/I1217</f>
        <v>0.1251376435425515</v>
      </c>
      <c r="N1217" s="4">
        <f>I1217/J1217</f>
        <v>0.98101851851851873</v>
      </c>
    </row>
    <row r="1218" spans="1:14" x14ac:dyDescent="0.3">
      <c r="A1218" s="29">
        <v>46128</v>
      </c>
      <c r="B1218" s="8">
        <f>YEAR(A1218)</f>
        <v>2026</v>
      </c>
      <c r="C1218" s="27" t="str">
        <f>TEXT(A1218,"MMMM")</f>
        <v>abril</v>
      </c>
      <c r="D1218" s="30" t="s">
        <v>77</v>
      </c>
      <c r="E1218" s="30" t="s">
        <v>34</v>
      </c>
      <c r="F1218" s="31">
        <v>3.0381944444444444E-2</v>
      </c>
      <c r="G1218" s="31">
        <v>0.44168981481481484</v>
      </c>
      <c r="H1218" s="31">
        <v>0.75038194444444439</v>
      </c>
      <c r="I1218" s="43">
        <f>H1218-G1218</f>
        <v>0.30869212962962955</v>
      </c>
      <c r="J1218" s="43">
        <v>0.3</v>
      </c>
      <c r="K1218" s="2">
        <f>I1218-J1218</f>
        <v>8.6921296296295636E-3</v>
      </c>
      <c r="L1218" s="3"/>
      <c r="M1218" s="4">
        <f>F1218/I1218</f>
        <v>9.8421506505192935E-2</v>
      </c>
      <c r="N1218" s="4">
        <f>I1218/J1218</f>
        <v>1.0289737654320985</v>
      </c>
    </row>
    <row r="1219" spans="1:14" x14ac:dyDescent="0.3">
      <c r="A1219" s="29">
        <v>46128</v>
      </c>
      <c r="B1219" s="8">
        <f>YEAR(A1219)</f>
        <v>2026</v>
      </c>
      <c r="C1219" s="27" t="str">
        <f>TEXT(A1219,"MMMM")</f>
        <v>abril</v>
      </c>
      <c r="D1219" s="30" t="s">
        <v>25</v>
      </c>
      <c r="E1219" s="30" t="s">
        <v>21</v>
      </c>
      <c r="F1219" s="31">
        <v>5.4641203703703706E-2</v>
      </c>
      <c r="G1219" s="31">
        <v>0.34818287037037038</v>
      </c>
      <c r="H1219" s="31">
        <v>0.65473379629629624</v>
      </c>
      <c r="I1219" s="43">
        <f>H1219-G1219</f>
        <v>0.30655092592592587</v>
      </c>
      <c r="J1219" s="43">
        <v>0.3</v>
      </c>
      <c r="K1219" s="2">
        <f>I1219-J1219</f>
        <v>6.5509259259258767E-3</v>
      </c>
      <c r="L1219" s="3"/>
      <c r="M1219" s="4">
        <f>F1219/I1219</f>
        <v>0.1782451106244809</v>
      </c>
      <c r="N1219" s="4">
        <f>I1219/J1219</f>
        <v>1.0218364197530863</v>
      </c>
    </row>
    <row r="1220" spans="1:14" x14ac:dyDescent="0.3">
      <c r="A1220" s="29">
        <v>46128</v>
      </c>
      <c r="B1220" s="8">
        <f>YEAR(A1220)</f>
        <v>2026</v>
      </c>
      <c r="C1220" s="27" t="str">
        <f>TEXT(A1220,"MMMM")</f>
        <v>abril</v>
      </c>
      <c r="D1220" s="30" t="s">
        <v>27</v>
      </c>
      <c r="E1220" s="30" t="s">
        <v>34</v>
      </c>
      <c r="F1220" s="31">
        <v>4.4687499999999998E-2</v>
      </c>
      <c r="G1220" s="31">
        <v>0.33430555555555558</v>
      </c>
      <c r="H1220" s="31">
        <v>0.63530092592592591</v>
      </c>
      <c r="I1220" s="43">
        <f>H1220-G1220</f>
        <v>0.30099537037037033</v>
      </c>
      <c r="J1220" s="43">
        <v>0.3</v>
      </c>
      <c r="K1220" s="2">
        <f>I1220-J1220</f>
        <v>9.9537037037034093E-4</v>
      </c>
      <c r="L1220" s="3"/>
      <c r="M1220" s="4">
        <f>F1220/I1220</f>
        <v>0.14846573867569024</v>
      </c>
      <c r="N1220" s="4">
        <f>I1220/J1220</f>
        <v>1.0033179012345679</v>
      </c>
    </row>
    <row r="1221" spans="1:14" x14ac:dyDescent="0.3">
      <c r="A1221" s="29">
        <v>46128</v>
      </c>
      <c r="B1221" s="8">
        <f>YEAR(A1221)</f>
        <v>2026</v>
      </c>
      <c r="C1221" s="27" t="str">
        <f>TEXT(A1221,"MMMM")</f>
        <v>abril</v>
      </c>
      <c r="D1221" s="30" t="s">
        <v>68</v>
      </c>
      <c r="E1221" s="30" t="s">
        <v>21</v>
      </c>
      <c r="F1221" s="31">
        <v>5.4722222222222221E-2</v>
      </c>
      <c r="G1221" s="31">
        <v>0.46043981481481483</v>
      </c>
      <c r="H1221" s="31">
        <v>0.75028935185185186</v>
      </c>
      <c r="I1221" s="43">
        <f>H1221-G1221</f>
        <v>0.28984953703703703</v>
      </c>
      <c r="J1221" s="43">
        <v>0.3</v>
      </c>
      <c r="K1221" s="2"/>
      <c r="L1221" s="3">
        <f>J1221-I1221</f>
        <v>1.0150462962962958E-2</v>
      </c>
      <c r="M1221" s="4">
        <f>F1221/I1221</f>
        <v>0.18879527213193306</v>
      </c>
      <c r="N1221" s="4">
        <f>I1221/J1221</f>
        <v>0.96616512345679018</v>
      </c>
    </row>
    <row r="1222" spans="1:14" x14ac:dyDescent="0.3">
      <c r="A1222" s="29">
        <v>46128</v>
      </c>
      <c r="B1222" s="8">
        <f>YEAR(A1222)</f>
        <v>2026</v>
      </c>
      <c r="C1222" s="27" t="str">
        <f>TEXT(A1222,"MMMM")</f>
        <v>abril</v>
      </c>
      <c r="D1222" s="30" t="s">
        <v>32</v>
      </c>
      <c r="E1222" s="30" t="s">
        <v>34</v>
      </c>
      <c r="F1222" s="31">
        <v>4.2199074074074076E-2</v>
      </c>
      <c r="G1222" s="31">
        <v>0.45274305555555555</v>
      </c>
      <c r="H1222" s="31">
        <v>0.75028935185185186</v>
      </c>
      <c r="I1222" s="43">
        <f>H1222-G1222</f>
        <v>0.29754629629629631</v>
      </c>
      <c r="J1222" s="43">
        <v>0.3</v>
      </c>
      <c r="K1222" s="2"/>
      <c r="L1222" s="3">
        <f>J1222-I1222</f>
        <v>2.4537037037036802E-3</v>
      </c>
      <c r="M1222" s="4">
        <f>F1222/I1222</f>
        <v>0.14182355686945697</v>
      </c>
      <c r="N1222" s="4">
        <f>I1222/J1222</f>
        <v>0.99182098765432103</v>
      </c>
    </row>
    <row r="1223" spans="1:14" x14ac:dyDescent="0.3">
      <c r="A1223" s="29">
        <v>46128</v>
      </c>
      <c r="B1223" s="8">
        <f>YEAR(A1223)</f>
        <v>2026</v>
      </c>
      <c r="C1223" s="27" t="str">
        <f>TEXT(A1223,"MMMM")</f>
        <v>abril</v>
      </c>
      <c r="D1223" s="30" t="s">
        <v>29</v>
      </c>
      <c r="E1223" s="30" t="s">
        <v>34</v>
      </c>
      <c r="F1223" s="31">
        <v>5.167824074074074E-2</v>
      </c>
      <c r="G1223" s="31">
        <v>0.33913194444444444</v>
      </c>
      <c r="H1223" s="31">
        <v>0.63377314814814811</v>
      </c>
      <c r="I1223" s="43">
        <f>H1223-G1223</f>
        <v>0.29464120370370367</v>
      </c>
      <c r="J1223" s="43">
        <v>0.3</v>
      </c>
      <c r="K1223" s="2"/>
      <c r="L1223" s="3">
        <f>J1223-I1223</f>
        <v>5.3587962962963198E-3</v>
      </c>
      <c r="M1223" s="4">
        <f>F1223/I1223</f>
        <v>0.17539380131201635</v>
      </c>
      <c r="N1223" s="4">
        <f>I1223/J1223</f>
        <v>0.98213734567901223</v>
      </c>
    </row>
    <row r="1224" spans="1:14" x14ac:dyDescent="0.3">
      <c r="A1224" s="29">
        <v>46129</v>
      </c>
      <c r="B1224" s="8">
        <f>YEAR(A1224)</f>
        <v>2026</v>
      </c>
      <c r="C1224" s="27" t="str">
        <f>TEXT(A1224,"MMMM")</f>
        <v>abril</v>
      </c>
      <c r="D1224" s="30" t="s">
        <v>16</v>
      </c>
      <c r="E1224" s="30" t="s">
        <v>34</v>
      </c>
      <c r="F1224" s="31">
        <v>4.4965277777777778E-2</v>
      </c>
      <c r="G1224" s="31">
        <v>0.37874999999999998</v>
      </c>
      <c r="H1224" s="31">
        <v>0.67743055555555554</v>
      </c>
      <c r="I1224" s="43">
        <f>H1224-G1224</f>
        <v>0.29868055555555556</v>
      </c>
      <c r="J1224" s="43">
        <v>0.3</v>
      </c>
      <c r="K1224" s="2"/>
      <c r="L1224" s="3">
        <f>J1224-I1224</f>
        <v>1.3194444444444287E-3</v>
      </c>
      <c r="M1224" s="4">
        <f>F1224/I1224</f>
        <v>0.15054638456172983</v>
      </c>
      <c r="N1224" s="4">
        <f>I1224/J1224</f>
        <v>0.9956018518518519</v>
      </c>
    </row>
    <row r="1225" spans="1:14" x14ac:dyDescent="0.3">
      <c r="A1225" s="29">
        <v>46129</v>
      </c>
      <c r="B1225" s="8">
        <f>YEAR(A1225)</f>
        <v>2026</v>
      </c>
      <c r="C1225" s="27" t="str">
        <f>TEXT(A1225,"MMMM")</f>
        <v>abril</v>
      </c>
      <c r="D1225" s="30" t="s">
        <v>19</v>
      </c>
      <c r="E1225" s="30" t="s">
        <v>34</v>
      </c>
      <c r="F1225" s="31">
        <v>4.9872685185185187E-2</v>
      </c>
      <c r="G1225" s="31">
        <v>0.33611111111111114</v>
      </c>
      <c r="H1225" s="31">
        <v>0.63480324074074079</v>
      </c>
      <c r="I1225" s="43">
        <f>H1225-G1225</f>
        <v>0.29869212962962965</v>
      </c>
      <c r="J1225" s="43">
        <v>0.3</v>
      </c>
      <c r="K1225" s="2"/>
      <c r="L1225" s="3">
        <f>J1225-I1225</f>
        <v>1.3078703703703343E-3</v>
      </c>
      <c r="M1225" s="4">
        <f>F1225/I1225</f>
        <v>0.16697020188320996</v>
      </c>
      <c r="N1225" s="4">
        <f>I1225/J1225</f>
        <v>0.99564043209876552</v>
      </c>
    </row>
    <row r="1226" spans="1:14" x14ac:dyDescent="0.3">
      <c r="A1226" s="29">
        <v>46129</v>
      </c>
      <c r="B1226" s="8">
        <f>YEAR(A1226)</f>
        <v>2026</v>
      </c>
      <c r="C1226" s="27" t="str">
        <f>TEXT(A1226,"MMMM")</f>
        <v>abril</v>
      </c>
      <c r="D1226" s="30" t="s">
        <v>69</v>
      </c>
      <c r="E1226" s="30" t="s">
        <v>34</v>
      </c>
      <c r="F1226" s="31">
        <v>3.8344907407407404E-2</v>
      </c>
      <c r="G1226" s="31">
        <v>0.35562500000000002</v>
      </c>
      <c r="H1226" s="31">
        <v>0.63466435185185188</v>
      </c>
      <c r="I1226" s="43">
        <f>H1226-G1226</f>
        <v>0.27903935185185186</v>
      </c>
      <c r="J1226" s="43">
        <v>0.3</v>
      </c>
      <c r="K1226" s="2"/>
      <c r="L1226" s="3">
        <f>J1226-I1226</f>
        <v>2.0960648148148131E-2</v>
      </c>
      <c r="M1226" s="4">
        <f>F1226/I1226</f>
        <v>0.13741756190634202</v>
      </c>
      <c r="N1226" s="4">
        <f>I1226/J1226</f>
        <v>0.93013117283950619</v>
      </c>
    </row>
    <row r="1227" spans="1:14" x14ac:dyDescent="0.3">
      <c r="A1227" s="29">
        <v>46129</v>
      </c>
      <c r="B1227" s="8">
        <f>YEAR(A1227)</f>
        <v>2026</v>
      </c>
      <c r="C1227" s="27" t="str">
        <f>TEXT(A1227,"MMMM")</f>
        <v>abril</v>
      </c>
      <c r="D1227" s="30" t="s">
        <v>22</v>
      </c>
      <c r="E1227" s="30" t="s">
        <v>34</v>
      </c>
      <c r="F1227" s="31">
        <v>3.8796296296296294E-2</v>
      </c>
      <c r="G1227" s="31">
        <v>0.45112268518518517</v>
      </c>
      <c r="H1227" s="31">
        <v>0.75249999999999995</v>
      </c>
      <c r="I1227" s="43">
        <f>H1227-G1227</f>
        <v>0.30137731481481478</v>
      </c>
      <c r="J1227" s="43">
        <v>0.3</v>
      </c>
      <c r="K1227" s="2">
        <f>I1227-J1227</f>
        <v>1.3773148148147896E-3</v>
      </c>
      <c r="L1227" s="3"/>
      <c r="M1227" s="4">
        <f>F1227/I1227</f>
        <v>0.1287299819501517</v>
      </c>
      <c r="N1227" s="4">
        <f>I1227/J1227</f>
        <v>1.0045910493827159</v>
      </c>
    </row>
    <row r="1228" spans="1:14" x14ac:dyDescent="0.3">
      <c r="A1228" s="29">
        <v>46129</v>
      </c>
      <c r="B1228" s="8">
        <f>YEAR(A1228)</f>
        <v>2026</v>
      </c>
      <c r="C1228" s="27" t="str">
        <f>TEXT(A1228,"MMMM")</f>
        <v>abril</v>
      </c>
      <c r="D1228" s="30" t="s">
        <v>33</v>
      </c>
      <c r="E1228" s="30" t="s">
        <v>34</v>
      </c>
      <c r="F1228" s="31">
        <v>3.9166666666666669E-2</v>
      </c>
      <c r="G1228" s="31">
        <v>0.33412037037037035</v>
      </c>
      <c r="H1228" s="31">
        <v>0.63405092592592593</v>
      </c>
      <c r="I1228" s="43">
        <f>H1228-G1228</f>
        <v>0.29993055555555559</v>
      </c>
      <c r="J1228" s="43">
        <v>0.3</v>
      </c>
      <c r="K1228" s="2"/>
      <c r="L1228" s="3">
        <f>J1228-I1228</f>
        <v>6.9444444444399789E-5</v>
      </c>
      <c r="M1228" s="4">
        <f>F1228/I1228</f>
        <v>0.13058578374623755</v>
      </c>
      <c r="N1228" s="4">
        <f>I1228/J1228</f>
        <v>0.99976851851851867</v>
      </c>
    </row>
    <row r="1229" spans="1:14" x14ac:dyDescent="0.3">
      <c r="A1229" s="29">
        <v>46129</v>
      </c>
      <c r="B1229" s="8">
        <f>YEAR(A1229)</f>
        <v>2026</v>
      </c>
      <c r="C1229" s="27" t="str">
        <f>TEXT(A1229,"MMMM")</f>
        <v>abril</v>
      </c>
      <c r="D1229" s="30" t="s">
        <v>24</v>
      </c>
      <c r="E1229" s="30" t="s">
        <v>34</v>
      </c>
      <c r="F1229" s="31">
        <v>2.5138888888888888E-2</v>
      </c>
      <c r="G1229" s="31">
        <v>0.34521990740740743</v>
      </c>
      <c r="H1229" s="31">
        <v>0.44253472222222223</v>
      </c>
      <c r="I1229" s="43">
        <f>H1229-G1229</f>
        <v>9.7314814814814798E-2</v>
      </c>
      <c r="J1229" s="43">
        <v>0.3</v>
      </c>
      <c r="K1229" s="2"/>
      <c r="L1229" s="3">
        <f>J1229-I1229</f>
        <v>0.20268518518518519</v>
      </c>
      <c r="M1229" s="4">
        <f>F1229/I1229</f>
        <v>0.25832540437678403</v>
      </c>
      <c r="N1229" s="4">
        <f>I1229/J1229</f>
        <v>0.32438271604938268</v>
      </c>
    </row>
    <row r="1230" spans="1:14" x14ac:dyDescent="0.3">
      <c r="A1230" s="29">
        <v>46129</v>
      </c>
      <c r="B1230" s="8">
        <f>YEAR(A1230)</f>
        <v>2026</v>
      </c>
      <c r="C1230" s="27" t="str">
        <f>TEXT(A1230,"MMMM")</f>
        <v>abril</v>
      </c>
      <c r="D1230" s="30" t="s">
        <v>76</v>
      </c>
      <c r="E1230" s="30" t="s">
        <v>34</v>
      </c>
      <c r="F1230" s="31">
        <v>4.8935185185185186E-2</v>
      </c>
      <c r="G1230" s="31">
        <v>0.45149305555555558</v>
      </c>
      <c r="H1230" s="31">
        <v>0.7512847222222222</v>
      </c>
      <c r="I1230" s="43">
        <f>H1230-G1230</f>
        <v>0.29979166666666662</v>
      </c>
      <c r="J1230" s="43">
        <v>0.3</v>
      </c>
      <c r="K1230" s="2"/>
      <c r="L1230" s="3">
        <f>J1230-I1230</f>
        <v>2.083333333333659E-4</v>
      </c>
      <c r="M1230" s="4">
        <f>F1230/I1230</f>
        <v>0.16323063856072892</v>
      </c>
      <c r="N1230" s="4">
        <f>I1230/J1230</f>
        <v>0.99930555555555545</v>
      </c>
    </row>
    <row r="1231" spans="1:14" x14ac:dyDescent="0.3">
      <c r="A1231" s="29">
        <v>46129</v>
      </c>
      <c r="B1231" s="8">
        <f>YEAR(A1231)</f>
        <v>2026</v>
      </c>
      <c r="C1231" s="27" t="str">
        <f>TEXT(A1231,"MMMM")</f>
        <v>abril</v>
      </c>
      <c r="D1231" s="30" t="s">
        <v>77</v>
      </c>
      <c r="E1231" s="30" t="s">
        <v>34</v>
      </c>
      <c r="F1231" s="31">
        <v>2.7835648148148148E-2</v>
      </c>
      <c r="G1231" s="31">
        <v>0.45083333333333331</v>
      </c>
      <c r="H1231" s="31">
        <v>0.75035879629629632</v>
      </c>
      <c r="I1231" s="43">
        <f>H1231-G1231</f>
        <v>0.29952546296296301</v>
      </c>
      <c r="J1231" s="43">
        <v>0.3</v>
      </c>
      <c r="K1231" s="2"/>
      <c r="L1231" s="3">
        <f>J1231-I1231</f>
        <v>4.7453703703698169E-4</v>
      </c>
      <c r="M1231" s="4">
        <f>F1231/I1231</f>
        <v>9.2932493527570603E-2</v>
      </c>
      <c r="N1231" s="4">
        <f>I1231/J1231</f>
        <v>0.99841820987654339</v>
      </c>
    </row>
    <row r="1232" spans="1:14" x14ac:dyDescent="0.3">
      <c r="A1232" s="29">
        <v>46129</v>
      </c>
      <c r="B1232" s="8">
        <f>YEAR(A1232)</f>
        <v>2026</v>
      </c>
      <c r="C1232" s="27" t="str">
        <f>TEXT(A1232,"MMMM")</f>
        <v>abril</v>
      </c>
      <c r="D1232" s="30" t="s">
        <v>25</v>
      </c>
      <c r="E1232" s="30" t="s">
        <v>21</v>
      </c>
      <c r="F1232" s="31">
        <v>5.0532407407407408E-2</v>
      </c>
      <c r="G1232" s="31">
        <v>0.33333333333333331</v>
      </c>
      <c r="H1232" s="31">
        <v>0.6550231481481481</v>
      </c>
      <c r="I1232" s="43">
        <f>H1232-G1232</f>
        <v>0.32168981481481479</v>
      </c>
      <c r="J1232" s="43">
        <v>0.3</v>
      </c>
      <c r="K1232" s="2">
        <f>I1232-J1232</f>
        <v>2.1689814814814801E-2</v>
      </c>
      <c r="L1232" s="3"/>
      <c r="M1232" s="4">
        <f>F1232/I1232</f>
        <v>0.15708426279053034</v>
      </c>
      <c r="N1232" s="4">
        <f>I1232/J1232</f>
        <v>1.0722993827160494</v>
      </c>
    </row>
    <row r="1233" spans="1:14" x14ac:dyDescent="0.3">
      <c r="A1233" s="29">
        <v>46129</v>
      </c>
      <c r="B1233" s="8">
        <f>YEAR(A1233)</f>
        <v>2026</v>
      </c>
      <c r="C1233" s="27" t="str">
        <f>TEXT(A1233,"MMMM")</f>
        <v>abril</v>
      </c>
      <c r="D1233" s="30" t="s">
        <v>27</v>
      </c>
      <c r="E1233" s="30" t="s">
        <v>34</v>
      </c>
      <c r="F1233" s="31">
        <v>3.8773148148148147E-2</v>
      </c>
      <c r="G1233" s="31">
        <v>0.3334375</v>
      </c>
      <c r="H1233" s="31">
        <v>0.6340972222222222</v>
      </c>
      <c r="I1233" s="43">
        <f>H1233-G1233</f>
        <v>0.3006597222222222</v>
      </c>
      <c r="J1233" s="43">
        <v>0.3</v>
      </c>
      <c r="K1233" s="2">
        <f>I1233-J1233</f>
        <v>6.5972222222221433E-4</v>
      </c>
      <c r="L1233" s="3"/>
      <c r="M1233" s="4">
        <f>F1233/I1233</f>
        <v>0.12896023405320092</v>
      </c>
      <c r="N1233" s="4">
        <f>I1233/J1233</f>
        <v>1.002199074074074</v>
      </c>
    </row>
    <row r="1234" spans="1:14" x14ac:dyDescent="0.3">
      <c r="A1234" s="29">
        <v>46129</v>
      </c>
      <c r="B1234" s="8">
        <f>YEAR(A1234)</f>
        <v>2026</v>
      </c>
      <c r="C1234" s="27" t="str">
        <f>TEXT(A1234,"MMMM")</f>
        <v>abril</v>
      </c>
      <c r="D1234" s="30" t="s">
        <v>68</v>
      </c>
      <c r="E1234" s="30" t="s">
        <v>21</v>
      </c>
      <c r="F1234" s="31">
        <v>5.1319444444444445E-2</v>
      </c>
      <c r="G1234" s="31">
        <v>0.45505787037037038</v>
      </c>
      <c r="H1234" s="31">
        <v>0.75038194444444439</v>
      </c>
      <c r="I1234" s="43">
        <f>H1234-G1234</f>
        <v>0.29532407407407402</v>
      </c>
      <c r="J1234" s="43">
        <v>0.3</v>
      </c>
      <c r="K1234" s="2"/>
      <c r="L1234" s="3">
        <f>J1234-I1234</f>
        <v>4.6759259259259722E-3</v>
      </c>
      <c r="M1234" s="4">
        <f>F1234/I1234</f>
        <v>0.17377331870199095</v>
      </c>
      <c r="N1234" s="4">
        <f>I1234/J1234</f>
        <v>0.98441358024691339</v>
      </c>
    </row>
    <row r="1235" spans="1:14" x14ac:dyDescent="0.3">
      <c r="A1235" s="29">
        <v>46129</v>
      </c>
      <c r="B1235" s="8">
        <f>YEAR(A1235)</f>
        <v>2026</v>
      </c>
      <c r="C1235" s="27" t="str">
        <f>TEXT(A1235,"MMMM")</f>
        <v>abril</v>
      </c>
      <c r="D1235" s="30" t="s">
        <v>32</v>
      </c>
      <c r="E1235" s="30" t="s">
        <v>34</v>
      </c>
      <c r="F1235" s="31">
        <v>4.5497685185185183E-2</v>
      </c>
      <c r="G1235" s="31">
        <v>0.45833333333333331</v>
      </c>
      <c r="H1235" s="31">
        <v>0.75035879629629632</v>
      </c>
      <c r="I1235" s="43">
        <f>H1235-G1235</f>
        <v>0.292025462962963</v>
      </c>
      <c r="J1235" s="43">
        <v>0.3</v>
      </c>
      <c r="K1235" s="2"/>
      <c r="L1235" s="3">
        <f>J1235-I1235</f>
        <v>7.9745370370369884E-3</v>
      </c>
      <c r="M1235" s="4">
        <f>F1235/I1235</f>
        <v>0.1558004042645951</v>
      </c>
      <c r="N1235" s="4">
        <f>I1235/J1235</f>
        <v>0.97341820987654337</v>
      </c>
    </row>
    <row r="1236" spans="1:14" x14ac:dyDescent="0.3">
      <c r="A1236" s="29">
        <v>46129</v>
      </c>
      <c r="B1236" s="8">
        <f>YEAR(A1236)</f>
        <v>2026</v>
      </c>
      <c r="C1236" s="27" t="str">
        <f>TEXT(A1236,"MMMM")</f>
        <v>abril</v>
      </c>
      <c r="D1236" s="30" t="s">
        <v>85</v>
      </c>
      <c r="E1236" s="30" t="s">
        <v>34</v>
      </c>
      <c r="F1236" s="31">
        <v>4.0902777777777781E-2</v>
      </c>
      <c r="G1236" s="31">
        <v>0.33333333333333331</v>
      </c>
      <c r="H1236" s="31">
        <v>0.63479166666666664</v>
      </c>
      <c r="I1236" s="43">
        <f>H1236-G1236</f>
        <v>0.30145833333333333</v>
      </c>
      <c r="J1236" s="43">
        <v>0.3</v>
      </c>
      <c r="K1236" s="2">
        <f>I1236-J1236</f>
        <v>1.4583333333333393E-3</v>
      </c>
      <c r="L1236" s="3"/>
      <c r="M1236" s="4">
        <f>F1236/I1236</f>
        <v>0.13568302234508178</v>
      </c>
      <c r="N1236" s="4">
        <f>I1236/J1236</f>
        <v>1.0048611111111112</v>
      </c>
    </row>
    <row r="1237" spans="1:14" x14ac:dyDescent="0.3">
      <c r="A1237" s="29">
        <v>46129</v>
      </c>
      <c r="B1237" s="8">
        <f>YEAR(A1237)</f>
        <v>2026</v>
      </c>
      <c r="C1237" s="27" t="str">
        <f>TEXT(A1237,"MMMM")</f>
        <v>abril</v>
      </c>
      <c r="D1237" s="30" t="s">
        <v>87</v>
      </c>
      <c r="E1237" s="30" t="s">
        <v>34</v>
      </c>
      <c r="F1237" s="31">
        <v>3.9710648148148148E-2</v>
      </c>
      <c r="G1237" s="31">
        <v>0.45135416666666667</v>
      </c>
      <c r="H1237" s="31">
        <v>0.75099537037037034</v>
      </c>
      <c r="I1237" s="43">
        <f>H1237-G1237</f>
        <v>0.29964120370370367</v>
      </c>
      <c r="J1237" s="43">
        <v>0.3</v>
      </c>
      <c r="K1237" s="2"/>
      <c r="L1237" s="3">
        <f>J1237-I1237</f>
        <v>3.5879629629631538E-4</v>
      </c>
      <c r="M1237" s="4">
        <f>F1237/I1237</f>
        <v>0.13252732820889182</v>
      </c>
      <c r="N1237" s="4">
        <f>I1237/J1237</f>
        <v>0.99880401234567895</v>
      </c>
    </row>
    <row r="1238" spans="1:14" x14ac:dyDescent="0.3">
      <c r="A1238" s="29">
        <v>46129</v>
      </c>
      <c r="B1238" s="8">
        <f>YEAR(A1238)</f>
        <v>2026</v>
      </c>
      <c r="C1238" s="27" t="str">
        <f>TEXT(A1238,"MMMM")</f>
        <v>abril</v>
      </c>
      <c r="D1238" s="30" t="s">
        <v>29</v>
      </c>
      <c r="E1238" s="30" t="s">
        <v>34</v>
      </c>
      <c r="F1238" s="31">
        <v>4.4652777777777777E-2</v>
      </c>
      <c r="G1238" s="31">
        <v>0.34422453703703704</v>
      </c>
      <c r="H1238" s="31">
        <v>0.63388888888888884</v>
      </c>
      <c r="I1238" s="43">
        <f>H1238-G1238</f>
        <v>0.2896643518518518</v>
      </c>
      <c r="J1238" s="43">
        <v>0.3</v>
      </c>
      <c r="K1238" s="2"/>
      <c r="L1238" s="3">
        <f>J1238-I1238</f>
        <v>1.0335648148148191E-2</v>
      </c>
      <c r="M1238" s="4">
        <f>F1238/I1238</f>
        <v>0.154153514204659</v>
      </c>
      <c r="N1238" s="4">
        <f>I1238/J1238</f>
        <v>0.96554783950617273</v>
      </c>
    </row>
    <row r="1239" spans="1:14" x14ac:dyDescent="0.3">
      <c r="A1239" s="29">
        <v>46129</v>
      </c>
      <c r="B1239" s="8">
        <f>YEAR(A1239)</f>
        <v>2026</v>
      </c>
      <c r="C1239" s="27" t="str">
        <f>TEXT(A1239,"MMMM")</f>
        <v>abril</v>
      </c>
      <c r="D1239" s="30" t="s">
        <v>88</v>
      </c>
      <c r="E1239" s="30" t="s">
        <v>21</v>
      </c>
      <c r="F1239" s="31">
        <v>4.9097222222222223E-2</v>
      </c>
      <c r="G1239" s="31">
        <v>0.33333333333333331</v>
      </c>
      <c r="H1239" s="31">
        <v>0.68399305555555556</v>
      </c>
      <c r="I1239" s="43">
        <f>H1239-G1239</f>
        <v>0.35065972222222225</v>
      </c>
      <c r="J1239" s="43">
        <v>0.3</v>
      </c>
      <c r="K1239" s="2">
        <f>I1239-J1239</f>
        <v>5.0659722222222259E-2</v>
      </c>
      <c r="L1239" s="3"/>
      <c r="M1239" s="4">
        <f>F1239/I1239</f>
        <v>0.14001386275868896</v>
      </c>
      <c r="N1239" s="4">
        <f>I1239/J1239</f>
        <v>1.1688657407407408</v>
      </c>
    </row>
    <row r="1240" spans="1:14" x14ac:dyDescent="0.3">
      <c r="A1240" s="29">
        <v>46132</v>
      </c>
      <c r="B1240" s="8">
        <f>YEAR(A1240)</f>
        <v>2026</v>
      </c>
      <c r="C1240" s="27" t="str">
        <f>TEXT(A1240,"MMMM")</f>
        <v>abril</v>
      </c>
      <c r="D1240" s="30" t="s">
        <v>16</v>
      </c>
      <c r="E1240" s="30" t="s">
        <v>34</v>
      </c>
      <c r="F1240" s="31">
        <v>1.0162037037037037E-2</v>
      </c>
      <c r="G1240" s="31">
        <v>0.33355324074074072</v>
      </c>
      <c r="H1240" s="31">
        <v>0.49137731481481484</v>
      </c>
      <c r="I1240" s="43">
        <f>H1240-G1240</f>
        <v>0.15782407407407412</v>
      </c>
      <c r="J1240" s="43">
        <v>0.3</v>
      </c>
      <c r="K1240" s="2"/>
      <c r="L1240" s="3">
        <f>J1240-I1240</f>
        <v>0.14217592592592587</v>
      </c>
      <c r="M1240" s="4">
        <f>F1240/I1240</f>
        <v>6.4388383690231726E-2</v>
      </c>
      <c r="N1240" s="4">
        <f>I1240/J1240</f>
        <v>0.52608024691358046</v>
      </c>
    </row>
    <row r="1241" spans="1:14" x14ac:dyDescent="0.3">
      <c r="A1241" s="29">
        <v>46132</v>
      </c>
      <c r="B1241" s="8">
        <f>YEAR(A1241)</f>
        <v>2026</v>
      </c>
      <c r="C1241" s="27" t="str">
        <f>TEXT(A1241,"MMMM")</f>
        <v>abril</v>
      </c>
      <c r="D1241" s="30" t="s">
        <v>47</v>
      </c>
      <c r="E1241" s="30" t="s">
        <v>34</v>
      </c>
      <c r="F1241" s="31">
        <v>5.4027777777777779E-2</v>
      </c>
      <c r="G1241" s="31">
        <v>0.516087962962963</v>
      </c>
      <c r="H1241" s="31">
        <v>0.75012731481481476</v>
      </c>
      <c r="I1241" s="43">
        <f>H1241-G1241</f>
        <v>0.23403935185185176</v>
      </c>
      <c r="J1241" s="43">
        <v>0.25</v>
      </c>
      <c r="K1241" s="2"/>
      <c r="L1241" s="3">
        <f>J1241-I1241</f>
        <v>1.5960648148148238E-2</v>
      </c>
      <c r="M1241" s="4">
        <f>F1241/I1241</f>
        <v>0.23084911725433965</v>
      </c>
      <c r="N1241" s="4">
        <f>I1241/J1241</f>
        <v>0.93615740740740705</v>
      </c>
    </row>
    <row r="1242" spans="1:14" x14ac:dyDescent="0.3">
      <c r="A1242" s="29">
        <v>46132</v>
      </c>
      <c r="B1242" s="8">
        <f>YEAR(A1242)</f>
        <v>2026</v>
      </c>
      <c r="C1242" s="27" t="str">
        <f>TEXT(A1242,"MMMM")</f>
        <v>abril</v>
      </c>
      <c r="D1242" s="30" t="s">
        <v>19</v>
      </c>
      <c r="E1242" s="30" t="s">
        <v>34</v>
      </c>
      <c r="F1242" s="31">
        <v>4.8692129629629627E-2</v>
      </c>
      <c r="G1242" s="31">
        <v>0.34177083333333336</v>
      </c>
      <c r="H1242" s="31">
        <v>0.6677777777777778</v>
      </c>
      <c r="I1242" s="43">
        <f>H1242-G1242</f>
        <v>0.32600694444444445</v>
      </c>
      <c r="J1242" s="43">
        <v>0.3</v>
      </c>
      <c r="K1242" s="2">
        <f>I1242-J1242</f>
        <v>2.6006944444444458E-2</v>
      </c>
      <c r="L1242" s="3"/>
      <c r="M1242" s="4">
        <f>F1242/I1242</f>
        <v>0.14935917918131145</v>
      </c>
      <c r="N1242" s="4">
        <f>I1242/J1242</f>
        <v>1.086689814814815</v>
      </c>
    </row>
    <row r="1243" spans="1:14" x14ac:dyDescent="0.3">
      <c r="A1243" s="29">
        <v>46132</v>
      </c>
      <c r="B1243" s="8">
        <f>YEAR(A1243)</f>
        <v>2026</v>
      </c>
      <c r="C1243" s="27" t="str">
        <f>TEXT(A1243,"MMMM")</f>
        <v>abril</v>
      </c>
      <c r="D1243" s="30" t="s">
        <v>69</v>
      </c>
      <c r="E1243" s="30" t="s">
        <v>34</v>
      </c>
      <c r="F1243" s="31">
        <v>3.3611111111111112E-2</v>
      </c>
      <c r="G1243" s="31">
        <v>0.33406249999999998</v>
      </c>
      <c r="H1243" s="31">
        <v>0.63372685185185185</v>
      </c>
      <c r="I1243" s="43">
        <f>H1243-G1243</f>
        <v>0.29966435185185186</v>
      </c>
      <c r="J1243" s="43">
        <v>0.3</v>
      </c>
      <c r="K1243" s="2"/>
      <c r="L1243" s="3">
        <f>J1243-I1243</f>
        <v>3.356481481481266E-4</v>
      </c>
      <c r="M1243" s="4">
        <f>F1243/I1243</f>
        <v>0.11216252751921517</v>
      </c>
      <c r="N1243" s="4">
        <f>I1243/J1243</f>
        <v>0.99888117283950628</v>
      </c>
    </row>
    <row r="1244" spans="1:14" x14ac:dyDescent="0.3">
      <c r="A1244" s="29">
        <v>46132</v>
      </c>
      <c r="B1244" s="8">
        <f>YEAR(A1244)</f>
        <v>2026</v>
      </c>
      <c r="C1244" s="27" t="str">
        <f>TEXT(A1244,"MMMM")</f>
        <v>abril</v>
      </c>
      <c r="D1244" s="30" t="s">
        <v>22</v>
      </c>
      <c r="E1244" s="30" t="s">
        <v>34</v>
      </c>
      <c r="F1244" s="31">
        <v>4.5231481481481484E-2</v>
      </c>
      <c r="G1244" s="31">
        <v>0.45087962962962963</v>
      </c>
      <c r="H1244" s="31">
        <v>0.75109953703703702</v>
      </c>
      <c r="I1244" s="43">
        <f>H1244-G1244</f>
        <v>0.30021990740740739</v>
      </c>
      <c r="J1244" s="43">
        <v>0.3</v>
      </c>
      <c r="K1244" s="2">
        <f>I1244-J1244</f>
        <v>2.1990740740740478E-4</v>
      </c>
      <c r="L1244" s="3"/>
      <c r="M1244" s="4">
        <f>F1244/I1244</f>
        <v>0.15066116658313738</v>
      </c>
      <c r="N1244" s="4">
        <f>I1244/J1244</f>
        <v>1.0007330246913579</v>
      </c>
    </row>
    <row r="1245" spans="1:14" x14ac:dyDescent="0.3">
      <c r="A1245" s="29">
        <v>46132</v>
      </c>
      <c r="B1245" s="8">
        <f>YEAR(A1245)</f>
        <v>2026</v>
      </c>
      <c r="C1245" s="27" t="str">
        <f>TEXT(A1245,"MMMM")</f>
        <v>abril</v>
      </c>
      <c r="D1245" s="30" t="s">
        <v>33</v>
      </c>
      <c r="E1245" s="30" t="s">
        <v>34</v>
      </c>
      <c r="F1245" s="31">
        <v>3.9675925925925927E-2</v>
      </c>
      <c r="G1245" s="31">
        <v>0.33333333333333331</v>
      </c>
      <c r="H1245" s="31">
        <v>0.63422453703703707</v>
      </c>
      <c r="I1245" s="43">
        <f>H1245-G1245</f>
        <v>0.30089120370370376</v>
      </c>
      <c r="J1245" s="43">
        <v>0.3</v>
      </c>
      <c r="K1245" s="2">
        <f>I1245-J1245</f>
        <v>8.91203703703769E-4</v>
      </c>
      <c r="L1245" s="3"/>
      <c r="M1245" s="4">
        <f>F1245/I1245</f>
        <v>0.13186136861945608</v>
      </c>
      <c r="N1245" s="4">
        <f>I1245/J1245</f>
        <v>1.0029706790123458</v>
      </c>
    </row>
    <row r="1246" spans="1:14" x14ac:dyDescent="0.3">
      <c r="A1246" s="29">
        <v>46132</v>
      </c>
      <c r="B1246" s="8">
        <f>YEAR(A1246)</f>
        <v>2026</v>
      </c>
      <c r="C1246" s="27" t="str">
        <f>TEXT(A1246,"MMMM")</f>
        <v>abril</v>
      </c>
      <c r="D1246" s="30" t="s">
        <v>24</v>
      </c>
      <c r="E1246" s="30" t="s">
        <v>34</v>
      </c>
      <c r="F1246" s="31">
        <v>4.5370370370370373E-2</v>
      </c>
      <c r="G1246" s="31">
        <v>0.33994212962962961</v>
      </c>
      <c r="H1246" s="31">
        <v>0.63906249999999998</v>
      </c>
      <c r="I1246" s="43">
        <f>H1246-G1246</f>
        <v>0.29912037037037037</v>
      </c>
      <c r="J1246" s="43">
        <v>0.3</v>
      </c>
      <c r="K1246" s="2"/>
      <c r="L1246" s="3">
        <f>J1246-I1246</f>
        <v>8.796296296296191E-4</v>
      </c>
      <c r="M1246" s="4">
        <f>F1246/I1246</f>
        <v>0.1516793066088841</v>
      </c>
      <c r="N1246" s="4">
        <f>I1246/J1246</f>
        <v>0.9970679012345679</v>
      </c>
    </row>
    <row r="1247" spans="1:14" x14ac:dyDescent="0.3">
      <c r="A1247" s="29">
        <v>46132</v>
      </c>
      <c r="B1247" s="8">
        <f>YEAR(A1247)</f>
        <v>2026</v>
      </c>
      <c r="C1247" s="27" t="str">
        <f>TEXT(A1247,"MMMM")</f>
        <v>abril</v>
      </c>
      <c r="D1247" s="30" t="s">
        <v>76</v>
      </c>
      <c r="E1247" s="30" t="s">
        <v>34</v>
      </c>
      <c r="F1247" s="31">
        <v>3.9745370370370368E-2</v>
      </c>
      <c r="G1247" s="31">
        <v>0.45025462962962964</v>
      </c>
      <c r="H1247" s="31">
        <v>0.75016203703703699</v>
      </c>
      <c r="I1247" s="43">
        <f>H1247-G1247</f>
        <v>0.29990740740740734</v>
      </c>
      <c r="J1247" s="43">
        <v>0.3</v>
      </c>
      <c r="K1247" s="2"/>
      <c r="L1247" s="3">
        <f>J1247-I1247</f>
        <v>9.2592592592644074E-5</v>
      </c>
      <c r="M1247" s="4">
        <f>F1247/I1247</f>
        <v>0.13252547082432853</v>
      </c>
      <c r="N1247" s="4">
        <f>I1247/J1247</f>
        <v>0.99969135802469122</v>
      </c>
    </row>
    <row r="1248" spans="1:14" x14ac:dyDescent="0.3">
      <c r="A1248" s="29">
        <v>46132</v>
      </c>
      <c r="B1248" s="8">
        <f>YEAR(A1248)</f>
        <v>2026</v>
      </c>
      <c r="C1248" s="27" t="str">
        <f>TEXT(A1248,"MMMM")</f>
        <v>abril</v>
      </c>
      <c r="D1248" s="30" t="s">
        <v>77</v>
      </c>
      <c r="E1248" s="30" t="s">
        <v>34</v>
      </c>
      <c r="F1248" s="31">
        <v>2.9155092592592594E-2</v>
      </c>
      <c r="G1248" s="31">
        <v>0.45284722222222223</v>
      </c>
      <c r="H1248" s="31">
        <v>0.75042824074074077</v>
      </c>
      <c r="I1248" s="43">
        <f>H1248-G1248</f>
        <v>0.29758101851851854</v>
      </c>
      <c r="J1248" s="43">
        <v>0.3</v>
      </c>
      <c r="K1248" s="2"/>
      <c r="L1248" s="3">
        <f>J1248-I1248</f>
        <v>2.4189814814814525E-3</v>
      </c>
      <c r="M1248" s="4">
        <f>F1248/I1248</f>
        <v>9.7973629963828704E-2</v>
      </c>
      <c r="N1248" s="4">
        <f>I1248/J1248</f>
        <v>0.99193672839506186</v>
      </c>
    </row>
    <row r="1249" spans="1:14" x14ac:dyDescent="0.3">
      <c r="A1249" s="29">
        <v>46132</v>
      </c>
      <c r="B1249" s="8">
        <f>YEAR(A1249)</f>
        <v>2026</v>
      </c>
      <c r="C1249" s="27" t="str">
        <f>TEXT(A1249,"MMMM")</f>
        <v>abril</v>
      </c>
      <c r="D1249" s="30" t="s">
        <v>25</v>
      </c>
      <c r="E1249" s="30" t="s">
        <v>21</v>
      </c>
      <c r="F1249" s="31">
        <v>4.490740740740741E-2</v>
      </c>
      <c r="G1249" s="31">
        <v>0.33384259259259258</v>
      </c>
      <c r="H1249" s="31">
        <v>0.63359953703703709</v>
      </c>
      <c r="I1249" s="43">
        <f>H1249-G1249</f>
        <v>0.29975694444444451</v>
      </c>
      <c r="J1249" s="43">
        <v>0.3</v>
      </c>
      <c r="K1249" s="2"/>
      <c r="L1249" s="3">
        <f>J1249-I1249</f>
        <v>2.4305555555548253E-4</v>
      </c>
      <c r="M1249" s="4">
        <f>F1249/I1249</f>
        <v>0.14981273408239698</v>
      </c>
      <c r="N1249" s="4">
        <f>I1249/J1249</f>
        <v>0.99918981481481506</v>
      </c>
    </row>
    <row r="1250" spans="1:14" x14ac:dyDescent="0.3">
      <c r="A1250" s="29">
        <v>46132</v>
      </c>
      <c r="B1250" s="8">
        <f>YEAR(A1250)</f>
        <v>2026</v>
      </c>
      <c r="C1250" s="27" t="str">
        <f>TEXT(A1250,"MMMM")</f>
        <v>abril</v>
      </c>
      <c r="D1250" s="30" t="s">
        <v>27</v>
      </c>
      <c r="E1250" s="30" t="s">
        <v>34</v>
      </c>
      <c r="F1250" s="31">
        <v>3.6562499999999998E-2</v>
      </c>
      <c r="G1250" s="31">
        <v>0.33385416666666667</v>
      </c>
      <c r="H1250" s="31">
        <v>0.63359953703703709</v>
      </c>
      <c r="I1250" s="43">
        <f>H1250-G1250</f>
        <v>0.29974537037037041</v>
      </c>
      <c r="J1250" s="43">
        <v>0.3</v>
      </c>
      <c r="K1250" s="2"/>
      <c r="L1250" s="3">
        <f>J1250-I1250</f>
        <v>2.5462962962957691E-4</v>
      </c>
      <c r="M1250" s="4">
        <f>F1250/I1250</f>
        <v>0.12197853116070737</v>
      </c>
      <c r="N1250" s="4">
        <f>I1250/J1250</f>
        <v>0.99915123456790145</v>
      </c>
    </row>
    <row r="1251" spans="1:14" x14ac:dyDescent="0.3">
      <c r="A1251" s="29">
        <v>46132</v>
      </c>
      <c r="B1251" s="8">
        <f>YEAR(A1251)</f>
        <v>2026</v>
      </c>
      <c r="C1251" s="27" t="str">
        <f>TEXT(A1251,"MMMM")</f>
        <v>abril</v>
      </c>
      <c r="D1251" s="30" t="s">
        <v>68</v>
      </c>
      <c r="E1251" s="30" t="s">
        <v>21</v>
      </c>
      <c r="F1251" s="31">
        <v>7.211805555555556E-2</v>
      </c>
      <c r="G1251" s="31">
        <v>0.42291666666666666</v>
      </c>
      <c r="H1251" s="31">
        <v>0.75067129629629625</v>
      </c>
      <c r="I1251" s="43">
        <f>H1251-G1251</f>
        <v>0.32775462962962959</v>
      </c>
      <c r="J1251" s="43">
        <v>0.3</v>
      </c>
      <c r="K1251" s="2">
        <f>I1251-J1251</f>
        <v>2.7754629629629601E-2</v>
      </c>
      <c r="L1251" s="3"/>
      <c r="M1251" s="4">
        <f>F1251/I1251</f>
        <v>0.2200367257574688</v>
      </c>
      <c r="N1251" s="4">
        <f>I1251/J1251</f>
        <v>1.0925154320987653</v>
      </c>
    </row>
    <row r="1252" spans="1:14" x14ac:dyDescent="0.3">
      <c r="A1252" s="29">
        <v>46132</v>
      </c>
      <c r="B1252" s="8">
        <f>YEAR(A1252)</f>
        <v>2026</v>
      </c>
      <c r="C1252" s="27" t="str">
        <f>TEXT(A1252,"MMMM")</f>
        <v>abril</v>
      </c>
      <c r="D1252" s="30" t="s">
        <v>32</v>
      </c>
      <c r="E1252" s="30" t="s">
        <v>34</v>
      </c>
      <c r="F1252" s="31">
        <v>4.9664351851851848E-2</v>
      </c>
      <c r="G1252" s="31">
        <v>0.4523726851851852</v>
      </c>
      <c r="H1252" s="31">
        <v>0.75016203703703699</v>
      </c>
      <c r="I1252" s="43">
        <f>H1252-G1252</f>
        <v>0.29778935185185179</v>
      </c>
      <c r="J1252" s="43">
        <v>0.3</v>
      </c>
      <c r="K1252" s="2"/>
      <c r="L1252" s="3">
        <f>J1252-I1252</f>
        <v>2.2106481481481977E-3</v>
      </c>
      <c r="M1252" s="4">
        <f>F1252/I1252</f>
        <v>0.16677678883749855</v>
      </c>
      <c r="N1252" s="4">
        <f>I1252/J1252</f>
        <v>0.99263117283950597</v>
      </c>
    </row>
    <row r="1253" spans="1:14" x14ac:dyDescent="0.3">
      <c r="A1253" s="29">
        <v>46132</v>
      </c>
      <c r="B1253" s="8">
        <f>YEAR(A1253)</f>
        <v>2026</v>
      </c>
      <c r="C1253" s="27" t="str">
        <f>TEXT(A1253,"MMMM")</f>
        <v>abril</v>
      </c>
      <c r="D1253" s="30" t="s">
        <v>85</v>
      </c>
      <c r="E1253" s="30" t="s">
        <v>34</v>
      </c>
      <c r="F1253" s="31">
        <v>3.5266203703703702E-2</v>
      </c>
      <c r="G1253" s="31">
        <v>0.33206018518518521</v>
      </c>
      <c r="H1253" s="31">
        <v>0.63329861111111108</v>
      </c>
      <c r="I1253" s="43">
        <f>H1253-G1253</f>
        <v>0.30123842592592587</v>
      </c>
      <c r="J1253" s="43">
        <v>0.3</v>
      </c>
      <c r="K1253" s="2">
        <f>I1253-J1253</f>
        <v>1.238425925925879E-3</v>
      </c>
      <c r="L1253" s="3"/>
      <c r="M1253" s="4">
        <f>F1253/I1253</f>
        <v>0.11707073423752259</v>
      </c>
      <c r="N1253" s="4">
        <f>I1253/J1253</f>
        <v>1.004128086419753</v>
      </c>
    </row>
    <row r="1254" spans="1:14" x14ac:dyDescent="0.3">
      <c r="A1254" s="29">
        <v>46132</v>
      </c>
      <c r="B1254" s="8">
        <f>YEAR(A1254)</f>
        <v>2026</v>
      </c>
      <c r="C1254" s="27" t="str">
        <f>TEXT(A1254,"MMMM")</f>
        <v>abril</v>
      </c>
      <c r="D1254" s="30" t="s">
        <v>87</v>
      </c>
      <c r="E1254" s="30" t="s">
        <v>34</v>
      </c>
      <c r="F1254" s="31">
        <v>3.3287037037037039E-2</v>
      </c>
      <c r="G1254" s="31">
        <v>0.44962962962962966</v>
      </c>
      <c r="H1254" s="31">
        <v>0.75246527777777783</v>
      </c>
      <c r="I1254" s="43">
        <f>H1254-G1254</f>
        <v>0.30283564814814817</v>
      </c>
      <c r="J1254" s="43">
        <v>0.3</v>
      </c>
      <c r="K1254" s="2">
        <f>I1254-J1254</f>
        <v>2.8356481481481843E-3</v>
      </c>
      <c r="L1254" s="3"/>
      <c r="M1254" s="4">
        <f>F1254/I1254</f>
        <v>0.10991782916109306</v>
      </c>
      <c r="N1254" s="4">
        <f>I1254/J1254</f>
        <v>1.0094521604938274</v>
      </c>
    </row>
    <row r="1255" spans="1:14" x14ac:dyDescent="0.3">
      <c r="A1255" s="29">
        <v>46132</v>
      </c>
      <c r="B1255" s="8">
        <f>YEAR(A1255)</f>
        <v>2026</v>
      </c>
      <c r="C1255" s="27" t="str">
        <f>TEXT(A1255,"MMMM")</f>
        <v>abril</v>
      </c>
      <c r="D1255" s="30" t="s">
        <v>29</v>
      </c>
      <c r="E1255" s="30" t="s">
        <v>34</v>
      </c>
      <c r="F1255" s="31">
        <v>2.6643518518518518E-2</v>
      </c>
      <c r="G1255" s="31">
        <v>0.33333333333333331</v>
      </c>
      <c r="H1255" s="31">
        <v>0.49156250000000001</v>
      </c>
      <c r="I1255" s="43">
        <f>H1255-G1255</f>
        <v>0.1582291666666667</v>
      </c>
      <c r="J1255" s="43">
        <v>0.3</v>
      </c>
      <c r="K1255" s="2"/>
      <c r="L1255" s="3">
        <f>J1255-I1255</f>
        <v>0.14177083333333329</v>
      </c>
      <c r="M1255" s="4">
        <f>F1255/I1255</f>
        <v>0.16838563382342181</v>
      </c>
      <c r="N1255" s="4">
        <f>I1255/J1255</f>
        <v>0.52743055555555574</v>
      </c>
    </row>
    <row r="1256" spans="1:14" x14ac:dyDescent="0.3">
      <c r="A1256" s="29">
        <v>46132</v>
      </c>
      <c r="B1256" s="8">
        <f>YEAR(A1256)</f>
        <v>2026</v>
      </c>
      <c r="C1256" s="27" t="str">
        <f>TEXT(A1256,"MMMM")</f>
        <v>abril</v>
      </c>
      <c r="D1256" s="30" t="s">
        <v>88</v>
      </c>
      <c r="E1256" s="30" t="s">
        <v>21</v>
      </c>
      <c r="F1256" s="31">
        <v>4.4409722222222225E-2</v>
      </c>
      <c r="G1256" s="31">
        <v>0.33535879629629628</v>
      </c>
      <c r="H1256" s="31">
        <v>0.63405092592592593</v>
      </c>
      <c r="I1256" s="43">
        <f>H1256-G1256</f>
        <v>0.29869212962962965</v>
      </c>
      <c r="J1256" s="43">
        <v>0.3</v>
      </c>
      <c r="K1256" s="2"/>
      <c r="L1256" s="3">
        <f>J1256-I1256</f>
        <v>1.3078703703703343E-3</v>
      </c>
      <c r="M1256" s="4">
        <f>F1256/I1256</f>
        <v>0.14868059053745108</v>
      </c>
      <c r="N1256" s="4">
        <f>I1256/J1256</f>
        <v>0.99564043209876552</v>
      </c>
    </row>
    <row r="1257" spans="1:14" x14ac:dyDescent="0.3">
      <c r="A1257" s="29">
        <v>46134</v>
      </c>
      <c r="B1257" s="8">
        <f>YEAR(A1257)</f>
        <v>2026</v>
      </c>
      <c r="C1257" s="27" t="str">
        <f>TEXT(A1257,"MMMM")</f>
        <v>abril</v>
      </c>
      <c r="D1257" s="30" t="s">
        <v>16</v>
      </c>
      <c r="E1257" s="30" t="s">
        <v>34</v>
      </c>
      <c r="F1257" s="31">
        <v>4.9525462962962966E-2</v>
      </c>
      <c r="G1257" s="31">
        <v>0.33333333333333331</v>
      </c>
      <c r="H1257" s="31">
        <v>0.70857638888888885</v>
      </c>
      <c r="I1257" s="43">
        <f>H1257-G1257</f>
        <v>0.37524305555555554</v>
      </c>
      <c r="J1257" s="43">
        <v>0.3</v>
      </c>
      <c r="K1257" s="2">
        <f>I1257-J1257</f>
        <v>7.5243055555555549E-2</v>
      </c>
      <c r="L1257" s="3"/>
      <c r="M1257" s="4">
        <f>F1257/I1257</f>
        <v>0.1319823571142161</v>
      </c>
      <c r="N1257" s="4">
        <f>I1257/J1257</f>
        <v>1.2508101851851852</v>
      </c>
    </row>
    <row r="1258" spans="1:14" x14ac:dyDescent="0.3">
      <c r="A1258" s="29">
        <v>46134</v>
      </c>
      <c r="B1258" s="8">
        <f>YEAR(A1258)</f>
        <v>2026</v>
      </c>
      <c r="C1258" s="27" t="str">
        <f>TEXT(A1258,"MMMM")</f>
        <v>abril</v>
      </c>
      <c r="D1258" s="30" t="s">
        <v>47</v>
      </c>
      <c r="E1258" s="30" t="s">
        <v>34</v>
      </c>
      <c r="F1258" s="31">
        <v>4.628472222222222E-2</v>
      </c>
      <c r="G1258" s="31">
        <v>0.52640046296296295</v>
      </c>
      <c r="H1258" s="31">
        <v>0.75043981481481481</v>
      </c>
      <c r="I1258" s="43">
        <f>H1258-G1258</f>
        <v>0.22403935185185186</v>
      </c>
      <c r="J1258" s="43">
        <v>0.25</v>
      </c>
      <c r="K1258" s="2"/>
      <c r="L1258" s="3">
        <f>J1258-I1258</f>
        <v>2.5960648148148135E-2</v>
      </c>
      <c r="M1258" s="4">
        <f>F1258/I1258</f>
        <v>0.20659193056775324</v>
      </c>
      <c r="N1258" s="4">
        <f>I1258/J1258</f>
        <v>0.89615740740740746</v>
      </c>
    </row>
    <row r="1259" spans="1:14" x14ac:dyDescent="0.3">
      <c r="A1259" s="29">
        <v>46134</v>
      </c>
      <c r="B1259" s="8">
        <f>YEAR(A1259)</f>
        <v>2026</v>
      </c>
      <c r="C1259" s="27" t="str">
        <f>TEXT(A1259,"MMMM")</f>
        <v>abril</v>
      </c>
      <c r="D1259" s="30" t="s">
        <v>86</v>
      </c>
      <c r="E1259" s="30" t="s">
        <v>34</v>
      </c>
      <c r="F1259" s="31">
        <v>2.7997685185185184E-2</v>
      </c>
      <c r="G1259" s="31">
        <v>0.49210648148148151</v>
      </c>
      <c r="H1259" s="31">
        <v>0.75081018518518516</v>
      </c>
      <c r="I1259" s="43">
        <f>H1259-G1259</f>
        <v>0.25870370370370366</v>
      </c>
      <c r="J1259" s="43">
        <v>0.3</v>
      </c>
      <c r="K1259" s="2"/>
      <c r="L1259" s="3">
        <f>J1259-I1259</f>
        <v>4.1296296296296331E-2</v>
      </c>
      <c r="M1259" s="4">
        <f>F1259/I1259</f>
        <v>0.108222977809592</v>
      </c>
      <c r="N1259" s="4">
        <f>I1259/J1259</f>
        <v>0.8623456790123456</v>
      </c>
    </row>
    <row r="1260" spans="1:14" x14ac:dyDescent="0.3">
      <c r="A1260" s="29">
        <v>46134</v>
      </c>
      <c r="B1260" s="8">
        <f>YEAR(A1260)</f>
        <v>2026</v>
      </c>
      <c r="C1260" s="27" t="str">
        <f>TEXT(A1260,"MMMM")</f>
        <v>abril</v>
      </c>
      <c r="D1260" s="30" t="s">
        <v>19</v>
      </c>
      <c r="E1260" s="30" t="s">
        <v>34</v>
      </c>
      <c r="F1260" s="31">
        <v>3.8229166666666668E-2</v>
      </c>
      <c r="G1260" s="31">
        <v>0.33486111111111111</v>
      </c>
      <c r="H1260" s="31">
        <v>0.63358796296296294</v>
      </c>
      <c r="I1260" s="43">
        <f>H1260-G1260</f>
        <v>0.29872685185185183</v>
      </c>
      <c r="J1260" s="43">
        <v>0.3</v>
      </c>
      <c r="K1260" s="2"/>
      <c r="L1260" s="3">
        <f>J1260-I1260</f>
        <v>1.2731481481481621E-3</v>
      </c>
      <c r="M1260" s="4">
        <f>F1260/I1260</f>
        <v>0.12797365362262692</v>
      </c>
      <c r="N1260" s="4">
        <f>I1260/J1260</f>
        <v>0.99575617283950613</v>
      </c>
    </row>
    <row r="1261" spans="1:14" x14ac:dyDescent="0.3">
      <c r="A1261" s="29">
        <v>46134</v>
      </c>
      <c r="B1261" s="8">
        <f>YEAR(A1261)</f>
        <v>2026</v>
      </c>
      <c r="C1261" s="27" t="str">
        <f>TEXT(A1261,"MMMM")</f>
        <v>abril</v>
      </c>
      <c r="D1261" s="30" t="s">
        <v>69</v>
      </c>
      <c r="E1261" s="30" t="s">
        <v>34</v>
      </c>
      <c r="F1261" s="31">
        <v>3.3877314814814811E-2</v>
      </c>
      <c r="G1261" s="31">
        <v>0.33333333333333331</v>
      </c>
      <c r="H1261" s="31">
        <v>0.64020833333333338</v>
      </c>
      <c r="I1261" s="43">
        <f>H1261-G1261</f>
        <v>0.30687500000000006</v>
      </c>
      <c r="J1261" s="43">
        <v>0.3</v>
      </c>
      <c r="K1261" s="2">
        <f>I1261-J1261</f>
        <v>6.8750000000000755E-3</v>
      </c>
      <c r="L1261" s="3"/>
      <c r="M1261" s="4">
        <f>F1261/I1261</f>
        <v>0.11039450856151464</v>
      </c>
      <c r="N1261" s="4">
        <f>I1261/J1261</f>
        <v>1.0229166666666669</v>
      </c>
    </row>
    <row r="1262" spans="1:14" x14ac:dyDescent="0.3">
      <c r="A1262" s="29">
        <v>46134</v>
      </c>
      <c r="B1262" s="8">
        <f>YEAR(A1262)</f>
        <v>2026</v>
      </c>
      <c r="C1262" s="27" t="str">
        <f>TEXT(A1262,"MMMM")</f>
        <v>abril</v>
      </c>
      <c r="D1262" s="30" t="s">
        <v>22</v>
      </c>
      <c r="E1262" s="30" t="s">
        <v>34</v>
      </c>
      <c r="F1262" s="31">
        <v>3.888888888888889E-2</v>
      </c>
      <c r="G1262" s="31">
        <v>0.45331018518518518</v>
      </c>
      <c r="H1262" s="31">
        <v>0.75241898148148145</v>
      </c>
      <c r="I1262" s="43">
        <f>H1262-G1262</f>
        <v>0.29910879629629628</v>
      </c>
      <c r="J1262" s="43">
        <v>0.3</v>
      </c>
      <c r="K1262" s="2"/>
      <c r="L1262" s="3">
        <f>J1262-I1262</f>
        <v>8.9120370370371349E-4</v>
      </c>
      <c r="M1262" s="4">
        <f>F1262/I1262</f>
        <v>0.13001586503114965</v>
      </c>
      <c r="N1262" s="4">
        <f>I1262/J1262</f>
        <v>0.99702932098765429</v>
      </c>
    </row>
    <row r="1263" spans="1:14" x14ac:dyDescent="0.3">
      <c r="A1263" s="29">
        <v>46134</v>
      </c>
      <c r="B1263" s="8">
        <f>YEAR(A1263)</f>
        <v>2026</v>
      </c>
      <c r="C1263" s="27" t="str">
        <f>TEXT(A1263,"MMMM")</f>
        <v>abril</v>
      </c>
      <c r="D1263" s="30" t="s">
        <v>33</v>
      </c>
      <c r="E1263" s="30" t="s">
        <v>34</v>
      </c>
      <c r="F1263" s="31">
        <v>3.3460648148148149E-2</v>
      </c>
      <c r="G1263" s="31">
        <v>0.33333333333333331</v>
      </c>
      <c r="H1263" s="31">
        <v>0.63371527777777781</v>
      </c>
      <c r="I1263" s="43">
        <f>H1263-G1263</f>
        <v>0.30038194444444449</v>
      </c>
      <c r="J1263" s="43">
        <v>0.3</v>
      </c>
      <c r="K1263" s="2">
        <f>I1263-J1263</f>
        <v>3.8194444444450415E-4</v>
      </c>
      <c r="L1263" s="3"/>
      <c r="M1263" s="4">
        <f>F1263/I1263</f>
        <v>0.11139367317843793</v>
      </c>
      <c r="N1263" s="4">
        <f>I1263/J1263</f>
        <v>1.0012731481481483</v>
      </c>
    </row>
    <row r="1264" spans="1:14" x14ac:dyDescent="0.3">
      <c r="A1264" s="29">
        <v>46134</v>
      </c>
      <c r="B1264" s="8">
        <f>YEAR(A1264)</f>
        <v>2026</v>
      </c>
      <c r="C1264" s="27" t="str">
        <f>TEXT(A1264,"MMMM")</f>
        <v>abril</v>
      </c>
      <c r="D1264" s="30" t="s">
        <v>24</v>
      </c>
      <c r="E1264" s="30" t="s">
        <v>34</v>
      </c>
      <c r="F1264" s="31">
        <v>5.6423611111111112E-2</v>
      </c>
      <c r="G1264" s="31">
        <v>0.3354861111111111</v>
      </c>
      <c r="H1264" s="31">
        <v>0.64165509259259257</v>
      </c>
      <c r="I1264" s="43">
        <f>H1264-G1264</f>
        <v>0.30616898148148147</v>
      </c>
      <c r="J1264" s="43">
        <v>0.3</v>
      </c>
      <c r="K1264" s="2">
        <f>I1264-J1264</f>
        <v>6.1689814814814836E-3</v>
      </c>
      <c r="L1264" s="3"/>
      <c r="M1264" s="4">
        <f>F1264/I1264</f>
        <v>0.18428911654632746</v>
      </c>
      <c r="N1264" s="4">
        <f>I1264/J1264</f>
        <v>1.0205632716049382</v>
      </c>
    </row>
    <row r="1265" spans="1:14" x14ac:dyDescent="0.3">
      <c r="A1265" s="29">
        <v>46134</v>
      </c>
      <c r="B1265" s="8">
        <f>YEAR(A1265)</f>
        <v>2026</v>
      </c>
      <c r="C1265" s="27" t="str">
        <f>TEXT(A1265,"MMMM")</f>
        <v>abril</v>
      </c>
      <c r="D1265" s="30" t="s">
        <v>76</v>
      </c>
      <c r="E1265" s="30" t="s">
        <v>34</v>
      </c>
      <c r="F1265" s="31">
        <v>4.085648148148148E-2</v>
      </c>
      <c r="G1265" s="31">
        <v>0.45532407407407405</v>
      </c>
      <c r="H1265" s="31">
        <v>0.75101851851851853</v>
      </c>
      <c r="I1265" s="43">
        <f>H1265-G1265</f>
        <v>0.29569444444444448</v>
      </c>
      <c r="J1265" s="43">
        <v>0.3</v>
      </c>
      <c r="K1265" s="2"/>
      <c r="L1265" s="3">
        <f>J1265-I1265</f>
        <v>4.305555555555507E-3</v>
      </c>
      <c r="M1265" s="4">
        <f>F1265/I1265</f>
        <v>0.1381712854235165</v>
      </c>
      <c r="N1265" s="4">
        <f>I1265/J1265</f>
        <v>0.98564814814814827</v>
      </c>
    </row>
    <row r="1266" spans="1:14" x14ac:dyDescent="0.3">
      <c r="A1266" s="29">
        <v>46134</v>
      </c>
      <c r="B1266" s="8">
        <f>YEAR(A1266)</f>
        <v>2026</v>
      </c>
      <c r="C1266" s="27" t="str">
        <f>TEXT(A1266,"MMMM")</f>
        <v>abril</v>
      </c>
      <c r="D1266" s="30" t="s">
        <v>77</v>
      </c>
      <c r="E1266" s="30" t="s">
        <v>34</v>
      </c>
      <c r="F1266" s="31">
        <v>2.7222222222222221E-2</v>
      </c>
      <c r="G1266" s="31">
        <v>0.45030092592592591</v>
      </c>
      <c r="H1266" s="31">
        <v>0.75193287037037038</v>
      </c>
      <c r="I1266" s="43">
        <f>H1266-G1266</f>
        <v>0.30163194444444447</v>
      </c>
      <c r="J1266" s="43">
        <v>0.3</v>
      </c>
      <c r="K1266" s="2">
        <f>I1266-J1266</f>
        <v>1.6319444444444775E-3</v>
      </c>
      <c r="L1266" s="3"/>
      <c r="M1266" s="4">
        <f>F1266/I1266</f>
        <v>9.0249798549556795E-2</v>
      </c>
      <c r="N1266" s="4">
        <f>I1266/J1266</f>
        <v>1.0054398148148149</v>
      </c>
    </row>
    <row r="1267" spans="1:14" x14ac:dyDescent="0.3">
      <c r="A1267" s="29">
        <v>46134</v>
      </c>
      <c r="B1267" s="8">
        <f>YEAR(A1267)</f>
        <v>2026</v>
      </c>
      <c r="C1267" s="27" t="str">
        <f>TEXT(A1267,"MMMM")</f>
        <v>abril</v>
      </c>
      <c r="D1267" s="30" t="s">
        <v>25</v>
      </c>
      <c r="E1267" s="30" t="s">
        <v>21</v>
      </c>
      <c r="F1267" s="31">
        <v>5.2094907407407409E-2</v>
      </c>
      <c r="G1267" s="31">
        <v>0.33333333333333331</v>
      </c>
      <c r="H1267" s="31">
        <v>0.64666666666666661</v>
      </c>
      <c r="I1267" s="43">
        <f>H1267-G1267</f>
        <v>0.3133333333333333</v>
      </c>
      <c r="J1267" s="43">
        <v>0.3</v>
      </c>
      <c r="K1267" s="2">
        <f>I1267-J1267</f>
        <v>1.3333333333333308E-2</v>
      </c>
      <c r="L1267" s="3"/>
      <c r="M1267" s="4">
        <f>F1267/I1267</f>
        <v>0.16626034278959814</v>
      </c>
      <c r="N1267" s="4">
        <f>I1267/J1267</f>
        <v>1.0444444444444443</v>
      </c>
    </row>
    <row r="1268" spans="1:14" x14ac:dyDescent="0.3">
      <c r="A1268" s="29">
        <v>46134</v>
      </c>
      <c r="B1268" s="8">
        <f>YEAR(A1268)</f>
        <v>2026</v>
      </c>
      <c r="C1268" s="27" t="str">
        <f>TEXT(A1268,"MMMM")</f>
        <v>abril</v>
      </c>
      <c r="D1268" s="30" t="s">
        <v>27</v>
      </c>
      <c r="E1268" s="30" t="s">
        <v>34</v>
      </c>
      <c r="F1268" s="31">
        <v>3.6006944444444446E-2</v>
      </c>
      <c r="G1268" s="31">
        <v>0.33333333333333331</v>
      </c>
      <c r="H1268" s="31">
        <v>0.63362268518518516</v>
      </c>
      <c r="I1268" s="43">
        <f>H1268-G1268</f>
        <v>0.30028935185185185</v>
      </c>
      <c r="J1268" s="43">
        <v>0.3</v>
      </c>
      <c r="K1268" s="2">
        <f>I1268-J1268</f>
        <v>2.8935185185186008E-4</v>
      </c>
      <c r="L1268" s="3"/>
      <c r="M1268" s="4">
        <f>F1268/I1268</f>
        <v>0.11990749662748122</v>
      </c>
      <c r="N1268" s="4">
        <f>I1268/J1268</f>
        <v>1.0009645061728396</v>
      </c>
    </row>
    <row r="1269" spans="1:14" x14ac:dyDescent="0.3">
      <c r="A1269" s="29">
        <v>46134</v>
      </c>
      <c r="B1269" s="8">
        <f>YEAR(A1269)</f>
        <v>2026</v>
      </c>
      <c r="C1269" s="27" t="str">
        <f>TEXT(A1269,"MMMM")</f>
        <v>abril</v>
      </c>
      <c r="D1269" s="30" t="s">
        <v>68</v>
      </c>
      <c r="E1269" s="30" t="s">
        <v>21</v>
      </c>
      <c r="F1269" s="31">
        <v>6.4606481481481487E-2</v>
      </c>
      <c r="G1269" s="31">
        <v>0.45</v>
      </c>
      <c r="H1269" s="31">
        <v>0.75026620370370367</v>
      </c>
      <c r="I1269" s="43">
        <f>H1269-G1269</f>
        <v>0.30026620370370366</v>
      </c>
      <c r="J1269" s="43">
        <v>0.3</v>
      </c>
      <c r="K1269" s="2">
        <f>I1269-J1269</f>
        <v>2.662037037036713E-4</v>
      </c>
      <c r="L1269" s="3"/>
      <c r="M1269" s="4">
        <f>F1269/I1269</f>
        <v>0.21516401341402311</v>
      </c>
      <c r="N1269" s="4">
        <f>I1269/J1269</f>
        <v>1.0008873456790122</v>
      </c>
    </row>
    <row r="1270" spans="1:14" x14ac:dyDescent="0.3">
      <c r="A1270" s="29">
        <v>46134</v>
      </c>
      <c r="B1270" s="8">
        <f>YEAR(A1270)</f>
        <v>2026</v>
      </c>
      <c r="C1270" s="27" t="str">
        <f>TEXT(A1270,"MMMM")</f>
        <v>abril</v>
      </c>
      <c r="D1270" s="30" t="s">
        <v>32</v>
      </c>
      <c r="E1270" s="30" t="s">
        <v>34</v>
      </c>
      <c r="F1270" s="31">
        <v>4.9456018518518517E-2</v>
      </c>
      <c r="G1270" s="31">
        <v>0.45064814814814813</v>
      </c>
      <c r="H1270" s="31">
        <v>0.7502199074074074</v>
      </c>
      <c r="I1270" s="43">
        <f>H1270-G1270</f>
        <v>0.29957175925925927</v>
      </c>
      <c r="J1270" s="43">
        <v>0.3</v>
      </c>
      <c r="K1270" s="2"/>
      <c r="L1270" s="3">
        <f>J1270-I1270</f>
        <v>4.2824074074071516E-4</v>
      </c>
      <c r="M1270" s="4">
        <f>F1270/I1270</f>
        <v>0.165089054591817</v>
      </c>
      <c r="N1270" s="4">
        <f>I1270/J1270</f>
        <v>0.99857253086419762</v>
      </c>
    </row>
    <row r="1271" spans="1:14" x14ac:dyDescent="0.3">
      <c r="A1271" s="29">
        <v>46134</v>
      </c>
      <c r="B1271" s="8">
        <f>YEAR(A1271)</f>
        <v>2026</v>
      </c>
      <c r="C1271" s="27" t="str">
        <f>TEXT(A1271,"MMMM")</f>
        <v>abril</v>
      </c>
      <c r="D1271" s="30" t="s">
        <v>91</v>
      </c>
      <c r="E1271" s="30" t="s">
        <v>34</v>
      </c>
      <c r="F1271" s="31">
        <v>4.6608796296296294E-2</v>
      </c>
      <c r="G1271" s="31">
        <v>0.45</v>
      </c>
      <c r="H1271" s="31">
        <v>0.75055555555555553</v>
      </c>
      <c r="I1271" s="43">
        <f>H1271-G1271</f>
        <v>0.30055555555555552</v>
      </c>
      <c r="J1271" s="43">
        <v>0.3</v>
      </c>
      <c r="K1271" s="2">
        <f>I1271-J1271</f>
        <v>5.5555555555553138E-4</v>
      </c>
      <c r="L1271" s="3"/>
      <c r="M1271" s="4">
        <f>F1271/I1271</f>
        <v>0.15507547751078252</v>
      </c>
      <c r="N1271" s="4">
        <f>I1271/J1271</f>
        <v>1.0018518518518518</v>
      </c>
    </row>
    <row r="1272" spans="1:14" x14ac:dyDescent="0.3">
      <c r="A1272" s="29">
        <v>46134</v>
      </c>
      <c r="B1272" s="8">
        <f>YEAR(A1272)</f>
        <v>2026</v>
      </c>
      <c r="C1272" s="27" t="str">
        <f>TEXT(A1272,"MMMM")</f>
        <v>abril</v>
      </c>
      <c r="D1272" s="30" t="s">
        <v>85</v>
      </c>
      <c r="E1272" s="30" t="s">
        <v>34</v>
      </c>
      <c r="F1272" s="31">
        <v>4.8657407407407406E-2</v>
      </c>
      <c r="G1272" s="31">
        <v>0.34597222222222224</v>
      </c>
      <c r="H1272" s="31">
        <v>0.64677083333333329</v>
      </c>
      <c r="I1272" s="43">
        <f>H1272-G1272</f>
        <v>0.30079861111111106</v>
      </c>
      <c r="J1272" s="43">
        <v>0.3</v>
      </c>
      <c r="K1272" s="2">
        <f>I1272-J1272</f>
        <v>7.9861111111106942E-4</v>
      </c>
      <c r="L1272" s="3"/>
      <c r="M1272" s="4">
        <f>F1272/I1272</f>
        <v>0.16176074493054757</v>
      </c>
      <c r="N1272" s="4">
        <f>I1272/J1272</f>
        <v>1.0026620370370369</v>
      </c>
    </row>
    <row r="1273" spans="1:14" x14ac:dyDescent="0.3">
      <c r="A1273" s="29">
        <v>46134</v>
      </c>
      <c r="B1273" s="8">
        <f>YEAR(A1273)</f>
        <v>2026</v>
      </c>
      <c r="C1273" s="27" t="str">
        <f>TEXT(A1273,"MMMM")</f>
        <v>abril</v>
      </c>
      <c r="D1273" s="30" t="s">
        <v>87</v>
      </c>
      <c r="E1273" s="30" t="s">
        <v>34</v>
      </c>
      <c r="F1273" s="31">
        <v>3.4016203703703701E-2</v>
      </c>
      <c r="G1273" s="31">
        <v>0.45027777777777778</v>
      </c>
      <c r="H1273" s="31">
        <v>0.75167824074074074</v>
      </c>
      <c r="I1273" s="43">
        <f>H1273-G1273</f>
        <v>0.30140046296296297</v>
      </c>
      <c r="J1273" s="43">
        <v>0.3</v>
      </c>
      <c r="K1273" s="2">
        <f>I1273-J1273</f>
        <v>1.4004629629629783E-3</v>
      </c>
      <c r="L1273" s="3"/>
      <c r="M1273" s="4">
        <f>F1273/I1273</f>
        <v>0.11286048922852424</v>
      </c>
      <c r="N1273" s="4">
        <f>I1273/J1273</f>
        <v>1.0046682098765434</v>
      </c>
    </row>
    <row r="1274" spans="1:14" x14ac:dyDescent="0.3">
      <c r="A1274" s="29">
        <v>46134</v>
      </c>
      <c r="B1274" s="8">
        <f>YEAR(A1274)</f>
        <v>2026</v>
      </c>
      <c r="C1274" s="27" t="str">
        <f>TEXT(A1274,"MMMM")</f>
        <v>abril</v>
      </c>
      <c r="D1274" s="30" t="s">
        <v>88</v>
      </c>
      <c r="E1274" s="30" t="s">
        <v>21</v>
      </c>
      <c r="F1274" s="31">
        <v>3.4861111111111114E-2</v>
      </c>
      <c r="G1274" s="31">
        <v>0.3634722222222222</v>
      </c>
      <c r="H1274" s="31">
        <v>0.64689814814814817</v>
      </c>
      <c r="I1274" s="43">
        <f>H1274-G1274</f>
        <v>0.28342592592592597</v>
      </c>
      <c r="J1274" s="43">
        <v>0.3</v>
      </c>
      <c r="K1274" s="2"/>
      <c r="L1274" s="3">
        <f>J1274-I1274</f>
        <v>1.6574074074074019E-2</v>
      </c>
      <c r="M1274" s="4">
        <f>F1274/I1274</f>
        <v>0.12299901992812805</v>
      </c>
      <c r="N1274" s="4">
        <f>I1274/J1274</f>
        <v>0.94475308641975331</v>
      </c>
    </row>
    <row r="1275" spans="1:14" x14ac:dyDescent="0.3">
      <c r="A1275" s="29">
        <v>46135</v>
      </c>
      <c r="B1275" s="8">
        <f>YEAR(A1275)</f>
        <v>2026</v>
      </c>
      <c r="C1275" s="27" t="str">
        <f>TEXT(A1275,"MMMM")</f>
        <v>abril</v>
      </c>
      <c r="D1275" s="30" t="s">
        <v>16</v>
      </c>
      <c r="E1275" s="30" t="s">
        <v>34</v>
      </c>
      <c r="F1275" s="31">
        <v>3.1018518518518518E-2</v>
      </c>
      <c r="G1275" s="31">
        <v>0.33439814814814817</v>
      </c>
      <c r="H1275" s="31">
        <v>0.63438657407407406</v>
      </c>
      <c r="I1275" s="43">
        <f>H1275-G1275</f>
        <v>0.29998842592592589</v>
      </c>
      <c r="J1275" s="43">
        <v>0.3</v>
      </c>
      <c r="K1275" s="2"/>
      <c r="L1275" s="3">
        <f>J1275-I1275</f>
        <v>1.1574074074094387E-5</v>
      </c>
      <c r="M1275" s="4">
        <f>F1275/I1275</f>
        <v>0.10339905088930901</v>
      </c>
      <c r="N1275" s="4">
        <f>I1275/J1275</f>
        <v>0.99996141975308639</v>
      </c>
    </row>
    <row r="1276" spans="1:14" x14ac:dyDescent="0.3">
      <c r="A1276" s="29">
        <v>46135</v>
      </c>
      <c r="B1276" s="8">
        <f>YEAR(A1276)</f>
        <v>2026</v>
      </c>
      <c r="C1276" s="27" t="str">
        <f>TEXT(A1276,"MMMM")</f>
        <v>abril</v>
      </c>
      <c r="D1276" s="30" t="s">
        <v>86</v>
      </c>
      <c r="E1276" s="30" t="s">
        <v>34</v>
      </c>
      <c r="F1276" s="31">
        <v>1.8680555555555554E-2</v>
      </c>
      <c r="G1276" s="31">
        <v>0.45246527777777779</v>
      </c>
      <c r="H1276" s="31">
        <v>0.75011574074074072</v>
      </c>
      <c r="I1276" s="43">
        <f>H1276-G1276</f>
        <v>0.29765046296296294</v>
      </c>
      <c r="J1276" s="43">
        <v>0.3</v>
      </c>
      <c r="K1276" s="2"/>
      <c r="L1276" s="3">
        <f>J1276-I1276</f>
        <v>2.3495370370370527E-3</v>
      </c>
      <c r="M1276" s="4">
        <f>F1276/I1276</f>
        <v>6.2760041995567131E-2</v>
      </c>
      <c r="N1276" s="4">
        <f>I1276/J1276</f>
        <v>0.99216820987654319</v>
      </c>
    </row>
    <row r="1277" spans="1:14" x14ac:dyDescent="0.3">
      <c r="A1277" s="29">
        <v>46135</v>
      </c>
      <c r="B1277" s="8">
        <f>YEAR(A1277)</f>
        <v>2026</v>
      </c>
      <c r="C1277" s="27" t="str">
        <f>TEXT(A1277,"MMMM")</f>
        <v>abril</v>
      </c>
      <c r="D1277" s="30" t="s">
        <v>19</v>
      </c>
      <c r="E1277" s="30" t="s">
        <v>34</v>
      </c>
      <c r="F1277" s="31">
        <v>3.9328703703703706E-2</v>
      </c>
      <c r="G1277" s="31">
        <v>0.33497685185185183</v>
      </c>
      <c r="H1277" s="31">
        <v>0.63365740740740739</v>
      </c>
      <c r="I1277" s="43">
        <f>H1277-G1277</f>
        <v>0.29868055555555556</v>
      </c>
      <c r="J1277" s="43">
        <v>0.3</v>
      </c>
      <c r="K1277" s="2"/>
      <c r="L1277" s="3">
        <f>J1277-I1277</f>
        <v>1.3194444444444287E-3</v>
      </c>
      <c r="M1277" s="4">
        <f>F1277/I1277</f>
        <v>0.13167480430907541</v>
      </c>
      <c r="N1277" s="4">
        <f>I1277/J1277</f>
        <v>0.9956018518518519</v>
      </c>
    </row>
    <row r="1278" spans="1:14" x14ac:dyDescent="0.3">
      <c r="A1278" s="29">
        <v>46135</v>
      </c>
      <c r="B1278" s="8">
        <f>YEAR(A1278)</f>
        <v>2026</v>
      </c>
      <c r="C1278" s="27" t="str">
        <f>TEXT(A1278,"MMMM")</f>
        <v>abril</v>
      </c>
      <c r="D1278" s="30" t="s">
        <v>69</v>
      </c>
      <c r="E1278" s="30" t="s">
        <v>34</v>
      </c>
      <c r="F1278" s="31">
        <v>3.0902777777777779E-2</v>
      </c>
      <c r="G1278" s="31">
        <v>0.33969907407407407</v>
      </c>
      <c r="H1278" s="31">
        <v>0.63416666666666666</v>
      </c>
      <c r="I1278" s="43">
        <f>H1278-G1278</f>
        <v>0.29446759259259259</v>
      </c>
      <c r="J1278" s="43">
        <v>0.3</v>
      </c>
      <c r="K1278" s="2"/>
      <c r="L1278" s="3">
        <f>J1278-I1278</f>
        <v>5.5324074074074026E-3</v>
      </c>
      <c r="M1278" s="4">
        <f>F1278/I1278</f>
        <v>0.10494457982862983</v>
      </c>
      <c r="N1278" s="4">
        <f>I1278/J1278</f>
        <v>0.98155864197530862</v>
      </c>
    </row>
    <row r="1279" spans="1:14" x14ac:dyDescent="0.3">
      <c r="A1279" s="29">
        <v>46135</v>
      </c>
      <c r="B1279" s="8">
        <f>YEAR(A1279)</f>
        <v>2026</v>
      </c>
      <c r="C1279" s="27" t="str">
        <f>TEXT(A1279,"MMMM")</f>
        <v>abril</v>
      </c>
      <c r="D1279" s="30" t="s">
        <v>22</v>
      </c>
      <c r="E1279" s="30" t="s">
        <v>34</v>
      </c>
      <c r="F1279" s="31">
        <v>3.9594907407407405E-2</v>
      </c>
      <c r="G1279" s="31">
        <v>0.4528935185185185</v>
      </c>
      <c r="H1279" s="31">
        <v>0.75290509259259264</v>
      </c>
      <c r="I1279" s="43">
        <f>H1279-G1279</f>
        <v>0.30001157407407414</v>
      </c>
      <c r="J1279" s="43">
        <v>0.3</v>
      </c>
      <c r="K1279" s="2">
        <f>I1279-J1279</f>
        <v>1.1574074074149898E-5</v>
      </c>
      <c r="L1279" s="3"/>
      <c r="M1279" s="4">
        <f>F1279/I1279</f>
        <v>0.13197793295011762</v>
      </c>
      <c r="N1279" s="4">
        <f>I1279/J1279</f>
        <v>1.0000385802469138</v>
      </c>
    </row>
    <row r="1280" spans="1:14" x14ac:dyDescent="0.3">
      <c r="A1280" s="29">
        <v>46135</v>
      </c>
      <c r="B1280" s="8">
        <f>YEAR(A1280)</f>
        <v>2026</v>
      </c>
      <c r="C1280" s="27" t="str">
        <f>TEXT(A1280,"MMMM")</f>
        <v>abril</v>
      </c>
      <c r="D1280" s="30" t="s">
        <v>33</v>
      </c>
      <c r="E1280" s="30" t="s">
        <v>34</v>
      </c>
      <c r="F1280" s="31">
        <v>2.7060185185185184E-2</v>
      </c>
      <c r="G1280" s="31">
        <v>0.33319444444444446</v>
      </c>
      <c r="H1280" s="31">
        <v>0.63408564814814816</v>
      </c>
      <c r="I1280" s="43">
        <f>H1280-G1280</f>
        <v>0.3008912037037037</v>
      </c>
      <c r="J1280" s="43">
        <v>0.3</v>
      </c>
      <c r="K1280" s="2">
        <f>I1280-J1280</f>
        <v>8.9120370370371349E-4</v>
      </c>
      <c r="L1280" s="3"/>
      <c r="M1280" s="4">
        <f>F1280/I1280</f>
        <v>8.9933453860060769E-2</v>
      </c>
      <c r="N1280" s="4">
        <f>I1280/J1280</f>
        <v>1.0029706790123458</v>
      </c>
    </row>
    <row r="1281" spans="1:14" x14ac:dyDescent="0.3">
      <c r="A1281" s="29">
        <v>46135</v>
      </c>
      <c r="B1281" s="8">
        <f>YEAR(A1281)</f>
        <v>2026</v>
      </c>
      <c r="C1281" s="27" t="str">
        <f>TEXT(A1281,"MMMM")</f>
        <v>abril</v>
      </c>
      <c r="D1281" s="30" t="s">
        <v>76</v>
      </c>
      <c r="E1281" s="30" t="s">
        <v>34</v>
      </c>
      <c r="F1281" s="31">
        <v>4.8020833333333332E-2</v>
      </c>
      <c r="G1281" s="31">
        <v>0.40620370370370368</v>
      </c>
      <c r="H1281" s="31">
        <v>0.75114583333333329</v>
      </c>
      <c r="I1281" s="43">
        <f>H1281-G1281</f>
        <v>0.34494212962962961</v>
      </c>
      <c r="J1281" s="43">
        <v>0.3</v>
      </c>
      <c r="K1281" s="2">
        <f>I1281-J1281</f>
        <v>4.4942129629629624E-2</v>
      </c>
      <c r="L1281" s="3"/>
      <c r="M1281" s="4">
        <f>F1281/I1281</f>
        <v>0.1392141730698252</v>
      </c>
      <c r="N1281" s="4">
        <f>I1281/J1281</f>
        <v>1.1498070987654321</v>
      </c>
    </row>
    <row r="1282" spans="1:14" x14ac:dyDescent="0.3">
      <c r="A1282" s="29">
        <v>46135</v>
      </c>
      <c r="B1282" s="8">
        <f>YEAR(A1282)</f>
        <v>2026</v>
      </c>
      <c r="C1282" s="27" t="str">
        <f>TEXT(A1282,"MMMM")</f>
        <v>abril</v>
      </c>
      <c r="D1282" s="30" t="s">
        <v>77</v>
      </c>
      <c r="E1282" s="30" t="s">
        <v>34</v>
      </c>
      <c r="F1282" s="31">
        <v>2.6481481481481481E-2</v>
      </c>
      <c r="G1282" s="31">
        <v>0.43918981481481484</v>
      </c>
      <c r="H1282" s="31">
        <v>0.75009259259259264</v>
      </c>
      <c r="I1282" s="43">
        <f>H1282-G1282</f>
        <v>0.31090277777777781</v>
      </c>
      <c r="J1282" s="43">
        <v>0.3</v>
      </c>
      <c r="K1282" s="2">
        <f>I1282-J1282</f>
        <v>1.0902777777777817E-2</v>
      </c>
      <c r="L1282" s="3"/>
      <c r="M1282" s="4">
        <f>F1282/I1282</f>
        <v>8.5176085176085173E-2</v>
      </c>
      <c r="N1282" s="4">
        <f>I1282/J1282</f>
        <v>1.0363425925925926</v>
      </c>
    </row>
    <row r="1283" spans="1:14" x14ac:dyDescent="0.3">
      <c r="A1283" s="29">
        <v>46135</v>
      </c>
      <c r="B1283" s="8">
        <f>YEAR(A1283)</f>
        <v>2026</v>
      </c>
      <c r="C1283" s="27" t="str">
        <f>TEXT(A1283,"MMMM")</f>
        <v>abril</v>
      </c>
      <c r="D1283" s="30" t="s">
        <v>25</v>
      </c>
      <c r="E1283" s="30" t="s">
        <v>21</v>
      </c>
      <c r="F1283" s="31">
        <v>4.0763888888888891E-2</v>
      </c>
      <c r="G1283" s="31">
        <v>0.33428240740740739</v>
      </c>
      <c r="H1283" s="31">
        <v>0.63390046296296299</v>
      </c>
      <c r="I1283" s="43">
        <f>H1283-G1283</f>
        <v>0.2996180555555556</v>
      </c>
      <c r="J1283" s="43">
        <v>0.3</v>
      </c>
      <c r="K1283" s="2"/>
      <c r="L1283" s="3">
        <f>J1283-I1283</f>
        <v>3.8194444444439313E-4</v>
      </c>
      <c r="M1283" s="4">
        <f>F1283/I1283</f>
        <v>0.1360528450573647</v>
      </c>
      <c r="N1283" s="4">
        <f>I1283/J1283</f>
        <v>0.99872685185185206</v>
      </c>
    </row>
    <row r="1284" spans="1:14" x14ac:dyDescent="0.3">
      <c r="A1284" s="29">
        <v>46135</v>
      </c>
      <c r="B1284" s="8">
        <f>YEAR(A1284)</f>
        <v>2026</v>
      </c>
      <c r="C1284" s="27" t="str">
        <f>TEXT(A1284,"MMMM")</f>
        <v>abril</v>
      </c>
      <c r="D1284" s="30" t="s">
        <v>27</v>
      </c>
      <c r="E1284" s="30" t="s">
        <v>34</v>
      </c>
      <c r="F1284" s="31">
        <v>2.6493055555555554E-2</v>
      </c>
      <c r="G1284" s="31">
        <v>0.33534722222222224</v>
      </c>
      <c r="H1284" s="31">
        <v>0.63424768518518515</v>
      </c>
      <c r="I1284" s="43">
        <f>H1284-G1284</f>
        <v>0.29890046296296291</v>
      </c>
      <c r="J1284" s="43">
        <v>0.3</v>
      </c>
      <c r="K1284" s="2"/>
      <c r="L1284" s="3">
        <f>J1284-I1284</f>
        <v>1.0995370370370794E-3</v>
      </c>
      <c r="M1284" s="4">
        <f>F1284/I1284</f>
        <v>8.8635043562439508E-2</v>
      </c>
      <c r="N1284" s="4">
        <f>I1284/J1284</f>
        <v>0.99633487654320974</v>
      </c>
    </row>
    <row r="1285" spans="1:14" x14ac:dyDescent="0.3">
      <c r="A1285" s="29">
        <v>46135</v>
      </c>
      <c r="B1285" s="8">
        <f>YEAR(A1285)</f>
        <v>2026</v>
      </c>
      <c r="C1285" s="27" t="str">
        <f>TEXT(A1285,"MMMM")</f>
        <v>abril</v>
      </c>
      <c r="D1285" s="30" t="s">
        <v>68</v>
      </c>
      <c r="E1285" s="30" t="s">
        <v>21</v>
      </c>
      <c r="F1285" s="31">
        <v>5.1562499999999997E-2</v>
      </c>
      <c r="G1285" s="31">
        <v>0.45373842592592595</v>
      </c>
      <c r="H1285" s="31">
        <v>0.75010416666666668</v>
      </c>
      <c r="I1285" s="43">
        <f>H1285-G1285</f>
        <v>0.29636574074074074</v>
      </c>
      <c r="J1285" s="43">
        <v>0.3</v>
      </c>
      <c r="K1285" s="2"/>
      <c r="L1285" s="3">
        <f>J1285-I1285</f>
        <v>3.6342592592592537E-3</v>
      </c>
      <c r="M1285" s="4">
        <f>F1285/I1285</f>
        <v>0.1739826603139889</v>
      </c>
      <c r="N1285" s="4">
        <f>I1285/J1285</f>
        <v>0.98788580246913582</v>
      </c>
    </row>
    <row r="1286" spans="1:14" x14ac:dyDescent="0.3">
      <c r="A1286" s="29">
        <v>46135</v>
      </c>
      <c r="B1286" s="8">
        <f>YEAR(A1286)</f>
        <v>2026</v>
      </c>
      <c r="C1286" s="27" t="str">
        <f>TEXT(A1286,"MMMM")</f>
        <v>abril</v>
      </c>
      <c r="D1286" s="30" t="s">
        <v>32</v>
      </c>
      <c r="E1286" s="30" t="s">
        <v>34</v>
      </c>
      <c r="F1286" s="31">
        <v>4.7881944444444442E-2</v>
      </c>
      <c r="G1286" s="31">
        <v>0.4566898148148148</v>
      </c>
      <c r="H1286" s="31">
        <v>0.75011574074074072</v>
      </c>
      <c r="I1286" s="43">
        <f>H1286-G1286</f>
        <v>0.29342592592592592</v>
      </c>
      <c r="J1286" s="43">
        <v>0.3</v>
      </c>
      <c r="K1286" s="2"/>
      <c r="L1286" s="3">
        <f>J1286-I1286</f>
        <v>6.5740740740740655E-3</v>
      </c>
      <c r="M1286" s="4">
        <f>F1286/I1286</f>
        <v>0.16318239192174186</v>
      </c>
      <c r="N1286" s="4">
        <f>I1286/J1286</f>
        <v>0.97808641975308641</v>
      </c>
    </row>
    <row r="1287" spans="1:14" x14ac:dyDescent="0.3">
      <c r="A1287" s="29">
        <v>46135</v>
      </c>
      <c r="B1287" s="8">
        <f>YEAR(A1287)</f>
        <v>2026</v>
      </c>
      <c r="C1287" s="27" t="str">
        <f>TEXT(A1287,"MMMM")</f>
        <v>abril</v>
      </c>
      <c r="D1287" s="30" t="s">
        <v>91</v>
      </c>
      <c r="E1287" s="30" t="s">
        <v>34</v>
      </c>
      <c r="F1287" s="31">
        <v>4.8275462962962964E-2</v>
      </c>
      <c r="G1287" s="31">
        <v>0.45708333333333334</v>
      </c>
      <c r="H1287" s="31">
        <v>0.75019675925925922</v>
      </c>
      <c r="I1287" s="43">
        <f>H1287-G1287</f>
        <v>0.29311342592592587</v>
      </c>
      <c r="J1287" s="43">
        <v>0.3</v>
      </c>
      <c r="K1287" s="2"/>
      <c r="L1287" s="3">
        <f>J1287-I1287</f>
        <v>6.8865740740741144E-3</v>
      </c>
      <c r="M1287" s="4">
        <f>F1287/I1287</f>
        <v>0.16469891411648571</v>
      </c>
      <c r="N1287" s="4">
        <f>I1287/J1287</f>
        <v>0.97704475308641958</v>
      </c>
    </row>
    <row r="1288" spans="1:14" x14ac:dyDescent="0.3">
      <c r="A1288" s="29">
        <v>46135</v>
      </c>
      <c r="B1288" s="8">
        <f>YEAR(A1288)</f>
        <v>2026</v>
      </c>
      <c r="C1288" s="27" t="str">
        <f>TEXT(A1288,"MMMM")</f>
        <v>abril</v>
      </c>
      <c r="D1288" s="30" t="s">
        <v>85</v>
      </c>
      <c r="E1288" s="30" t="s">
        <v>34</v>
      </c>
      <c r="F1288" s="31">
        <v>3.8032407407407411E-2</v>
      </c>
      <c r="G1288" s="31">
        <v>0.34406249999999999</v>
      </c>
      <c r="H1288" s="31">
        <v>0.63612268518518522</v>
      </c>
      <c r="I1288" s="43">
        <f>H1288-G1288</f>
        <v>0.29206018518518523</v>
      </c>
      <c r="J1288" s="43">
        <v>0.3</v>
      </c>
      <c r="K1288" s="2"/>
      <c r="L1288" s="3">
        <f>J1288-I1288</f>
        <v>7.9398148148147607E-3</v>
      </c>
      <c r="M1288" s="4">
        <f>F1288/I1288</f>
        <v>0.13022113022113022</v>
      </c>
      <c r="N1288" s="4">
        <f>I1288/J1288</f>
        <v>0.97353395061728409</v>
      </c>
    </row>
    <row r="1289" spans="1:14" x14ac:dyDescent="0.3">
      <c r="A1289" s="29">
        <v>46135</v>
      </c>
      <c r="B1289" s="8">
        <f>YEAR(A1289)</f>
        <v>2026</v>
      </c>
      <c r="C1289" s="27" t="str">
        <f>TEXT(A1289,"MMMM")</f>
        <v>abril</v>
      </c>
      <c r="D1289" s="30" t="s">
        <v>87</v>
      </c>
      <c r="E1289" s="30" t="s">
        <v>34</v>
      </c>
      <c r="F1289" s="31">
        <v>3.0312499999999999E-2</v>
      </c>
      <c r="G1289" s="31">
        <v>0.44979166666666665</v>
      </c>
      <c r="H1289" s="31">
        <v>0.75010416666666668</v>
      </c>
      <c r="I1289" s="43">
        <f>H1289-G1289</f>
        <v>0.30031250000000004</v>
      </c>
      <c r="J1289" s="43">
        <v>0.3</v>
      </c>
      <c r="K1289" s="2">
        <f>I1289-J1289</f>
        <v>3.1250000000004885E-4</v>
      </c>
      <c r="L1289" s="3"/>
      <c r="M1289" s="4">
        <f>F1289/I1289</f>
        <v>0.10093652445369405</v>
      </c>
      <c r="N1289" s="4">
        <f>I1289/J1289</f>
        <v>1.0010416666666668</v>
      </c>
    </row>
    <row r="1290" spans="1:14" x14ac:dyDescent="0.3">
      <c r="A1290" s="29">
        <v>46135</v>
      </c>
      <c r="B1290" s="8">
        <f>YEAR(A1290)</f>
        <v>2026</v>
      </c>
      <c r="C1290" s="27" t="str">
        <f>TEXT(A1290,"MMMM")</f>
        <v>abril</v>
      </c>
      <c r="D1290" s="30" t="s">
        <v>29</v>
      </c>
      <c r="E1290" s="30" t="s">
        <v>34</v>
      </c>
      <c r="F1290" s="31">
        <v>1.8796296296296297E-2</v>
      </c>
      <c r="G1290" s="31">
        <v>0.34141203703703704</v>
      </c>
      <c r="H1290" s="31">
        <v>0.63565972222222222</v>
      </c>
      <c r="I1290" s="43">
        <f>H1290-G1290</f>
        <v>0.29424768518518518</v>
      </c>
      <c r="J1290" s="43">
        <v>0.3</v>
      </c>
      <c r="K1290" s="2"/>
      <c r="L1290" s="3">
        <f>J1290-I1290</f>
        <v>5.7523148148148073E-3</v>
      </c>
      <c r="M1290" s="4">
        <f>F1290/I1290</f>
        <v>6.387916453605004E-2</v>
      </c>
      <c r="N1290" s="4">
        <f>I1290/J1290</f>
        <v>0.98082561728395068</v>
      </c>
    </row>
    <row r="1291" spans="1:14" x14ac:dyDescent="0.3">
      <c r="A1291" s="29">
        <v>46135</v>
      </c>
      <c r="B1291" s="8">
        <f>YEAR(A1291)</f>
        <v>2026</v>
      </c>
      <c r="C1291" s="27" t="str">
        <f>TEXT(A1291,"MMMM")</f>
        <v>abril</v>
      </c>
      <c r="D1291" s="30" t="s">
        <v>88</v>
      </c>
      <c r="E1291" s="30" t="s">
        <v>21</v>
      </c>
      <c r="F1291" s="31">
        <v>3.6423611111111108E-2</v>
      </c>
      <c r="G1291" s="31">
        <v>0.33743055555555557</v>
      </c>
      <c r="H1291" s="31">
        <v>0.63527777777777783</v>
      </c>
      <c r="I1291" s="43">
        <f>H1291-G1291</f>
        <v>0.29784722222222226</v>
      </c>
      <c r="J1291" s="43">
        <v>0.3</v>
      </c>
      <c r="K1291" s="2"/>
      <c r="L1291" s="3">
        <f>J1291-I1291</f>
        <v>2.1527777777777257E-3</v>
      </c>
      <c r="M1291" s="4">
        <f>F1291/I1291</f>
        <v>0.12228957799020748</v>
      </c>
      <c r="N1291" s="4">
        <f>I1291/J1291</f>
        <v>0.99282407407407425</v>
      </c>
    </row>
    <row r="1292" spans="1:14" x14ac:dyDescent="0.3">
      <c r="A1292" s="29">
        <v>46136</v>
      </c>
      <c r="B1292" s="8">
        <f t="shared" ref="B1292:B1326" si="0">YEAR(A1292)</f>
        <v>2026</v>
      </c>
      <c r="C1292" s="27" t="str">
        <f t="shared" ref="C1292:C1326" si="1">TEXT(A1292,"MMMM")</f>
        <v>abril</v>
      </c>
      <c r="D1292" s="30" t="s">
        <v>16</v>
      </c>
      <c r="E1292" s="30" t="s">
        <v>34</v>
      </c>
      <c r="F1292" s="31">
        <v>4.8993055555555554E-2</v>
      </c>
      <c r="G1292" s="31">
        <v>0.33385416666666667</v>
      </c>
      <c r="H1292" s="31">
        <v>0.6470717592592593</v>
      </c>
      <c r="I1292" s="43">
        <f t="shared" ref="I1292:I1326" si="2">H1292-G1292</f>
        <v>0.31321759259259263</v>
      </c>
      <c r="J1292" s="43">
        <v>0.3</v>
      </c>
      <c r="K1292" s="2">
        <f>I1292-J1292</f>
        <v>1.3217592592592642E-2</v>
      </c>
      <c r="L1292" s="3"/>
      <c r="M1292" s="4">
        <f t="shared" ref="M1292:M1326" si="3">F1292/I1292</f>
        <v>0.15641859433892541</v>
      </c>
      <c r="N1292" s="4">
        <f t="shared" ref="N1292:N1326" si="4">I1292/J1292</f>
        <v>1.0440586419753088</v>
      </c>
    </row>
    <row r="1293" spans="1:14" x14ac:dyDescent="0.3">
      <c r="A1293" s="29">
        <v>46136</v>
      </c>
      <c r="B1293" s="8">
        <f t="shared" si="0"/>
        <v>2026</v>
      </c>
      <c r="C1293" s="27" t="str">
        <f t="shared" si="1"/>
        <v>abril</v>
      </c>
      <c r="D1293" s="30" t="s">
        <v>86</v>
      </c>
      <c r="E1293" s="30" t="s">
        <v>34</v>
      </c>
      <c r="F1293" s="31">
        <v>4.0162037037037038E-2</v>
      </c>
      <c r="G1293" s="31">
        <v>0.45233796296296297</v>
      </c>
      <c r="H1293" s="31">
        <v>0.75131944444444443</v>
      </c>
      <c r="I1293" s="43">
        <f t="shared" si="2"/>
        <v>0.29898148148148146</v>
      </c>
      <c r="J1293" s="43">
        <v>0.3</v>
      </c>
      <c r="K1293" s="2"/>
      <c r="L1293" s="3">
        <f t="shared" ref="L1292:L1326" si="5">J1293-I1293</f>
        <v>1.0185185185185297E-3</v>
      </c>
      <c r="M1293" s="4">
        <f t="shared" si="3"/>
        <v>0.13432951378135646</v>
      </c>
      <c r="N1293" s="4">
        <f t="shared" si="4"/>
        <v>0.9966049382716049</v>
      </c>
    </row>
    <row r="1294" spans="1:14" x14ac:dyDescent="0.3">
      <c r="A1294" s="29">
        <v>46136</v>
      </c>
      <c r="B1294" s="8">
        <f t="shared" si="0"/>
        <v>2026</v>
      </c>
      <c r="C1294" s="27" t="str">
        <f t="shared" si="1"/>
        <v>abril</v>
      </c>
      <c r="D1294" s="30" t="s">
        <v>19</v>
      </c>
      <c r="E1294" s="30" t="s">
        <v>34</v>
      </c>
      <c r="F1294" s="31">
        <v>4.2268518518518518E-2</v>
      </c>
      <c r="G1294" s="31">
        <v>0.3339699074074074</v>
      </c>
      <c r="H1294" s="31">
        <v>0.66494212962962962</v>
      </c>
      <c r="I1294" s="43">
        <f t="shared" si="2"/>
        <v>0.33097222222222222</v>
      </c>
      <c r="J1294" s="43">
        <v>0.3</v>
      </c>
      <c r="K1294" s="2">
        <f t="shared" ref="K1294:K1299" si="6">I1294-J1294</f>
        <v>3.0972222222222234E-2</v>
      </c>
      <c r="L1294" s="3"/>
      <c r="M1294" s="4">
        <f t="shared" si="3"/>
        <v>0.12771016925444117</v>
      </c>
      <c r="N1294" s="4">
        <f t="shared" si="4"/>
        <v>1.1032407407407407</v>
      </c>
    </row>
    <row r="1295" spans="1:14" x14ac:dyDescent="0.3">
      <c r="A1295" s="29">
        <v>46136</v>
      </c>
      <c r="B1295" s="8">
        <f t="shared" si="0"/>
        <v>2026</v>
      </c>
      <c r="C1295" s="27" t="str">
        <f t="shared" si="1"/>
        <v>abril</v>
      </c>
      <c r="D1295" s="30" t="s">
        <v>69</v>
      </c>
      <c r="E1295" s="30" t="s">
        <v>34</v>
      </c>
      <c r="F1295" s="31">
        <v>3.8495370370370367E-2</v>
      </c>
      <c r="G1295" s="31">
        <v>0.3342013888888889</v>
      </c>
      <c r="H1295" s="31">
        <v>0.65453703703703703</v>
      </c>
      <c r="I1295" s="43">
        <f t="shared" si="2"/>
        <v>0.32033564814814813</v>
      </c>
      <c r="J1295" s="43">
        <v>0.3</v>
      </c>
      <c r="K1295" s="2">
        <f t="shared" si="6"/>
        <v>2.0335648148148144E-2</v>
      </c>
      <c r="L1295" s="3"/>
      <c r="M1295" s="4">
        <f t="shared" si="3"/>
        <v>0.12017198395779889</v>
      </c>
      <c r="N1295" s="4">
        <f t="shared" si="4"/>
        <v>1.0677854938271605</v>
      </c>
    </row>
    <row r="1296" spans="1:14" x14ac:dyDescent="0.3">
      <c r="A1296" s="29">
        <v>46136</v>
      </c>
      <c r="B1296" s="8">
        <f t="shared" si="0"/>
        <v>2026</v>
      </c>
      <c r="C1296" s="27" t="str">
        <f t="shared" si="1"/>
        <v>abril</v>
      </c>
      <c r="D1296" s="30" t="s">
        <v>22</v>
      </c>
      <c r="E1296" s="30" t="s">
        <v>34</v>
      </c>
      <c r="F1296" s="31">
        <v>3.5335648148148151E-2</v>
      </c>
      <c r="G1296" s="31">
        <v>0.43783564814814813</v>
      </c>
      <c r="H1296" s="31">
        <v>0.75093750000000004</v>
      </c>
      <c r="I1296" s="43">
        <f t="shared" si="2"/>
        <v>0.31310185185185191</v>
      </c>
      <c r="J1296" s="43">
        <v>0.3</v>
      </c>
      <c r="K1296" s="2">
        <f t="shared" si="6"/>
        <v>1.310185185185192E-2</v>
      </c>
      <c r="L1296" s="3"/>
      <c r="M1296" s="4">
        <f t="shared" si="3"/>
        <v>0.11285672039035929</v>
      </c>
      <c r="N1296" s="4">
        <f t="shared" si="4"/>
        <v>1.0436728395061732</v>
      </c>
    </row>
    <row r="1297" spans="1:14" x14ac:dyDescent="0.3">
      <c r="A1297" s="29">
        <v>46136</v>
      </c>
      <c r="B1297" s="8">
        <f t="shared" si="0"/>
        <v>2026</v>
      </c>
      <c r="C1297" s="27" t="str">
        <f t="shared" si="1"/>
        <v>abril</v>
      </c>
      <c r="D1297" s="30" t="s">
        <v>33</v>
      </c>
      <c r="E1297" s="30" t="s">
        <v>34</v>
      </c>
      <c r="F1297" s="31">
        <v>3.709490740740741E-2</v>
      </c>
      <c r="G1297" s="31">
        <v>0.33262731481481483</v>
      </c>
      <c r="H1297" s="31">
        <v>0.63353009259259263</v>
      </c>
      <c r="I1297" s="43">
        <f t="shared" si="2"/>
        <v>0.3009027777777778</v>
      </c>
      <c r="J1297" s="43">
        <v>0.3</v>
      </c>
      <c r="K1297" s="2">
        <f t="shared" si="6"/>
        <v>9.0277777777780788E-4</v>
      </c>
      <c r="L1297" s="3"/>
      <c r="M1297" s="4">
        <f t="shared" si="3"/>
        <v>0.12327871374721132</v>
      </c>
      <c r="N1297" s="4">
        <f t="shared" si="4"/>
        <v>1.0030092592592594</v>
      </c>
    </row>
    <row r="1298" spans="1:14" x14ac:dyDescent="0.3">
      <c r="A1298" s="29">
        <v>46136</v>
      </c>
      <c r="B1298" s="8">
        <f t="shared" si="0"/>
        <v>2026</v>
      </c>
      <c r="C1298" s="27" t="str">
        <f t="shared" si="1"/>
        <v>abril</v>
      </c>
      <c r="D1298" s="30" t="s">
        <v>76</v>
      </c>
      <c r="E1298" s="30" t="s">
        <v>34</v>
      </c>
      <c r="F1298" s="31">
        <v>5.1377314814814813E-2</v>
      </c>
      <c r="G1298" s="31">
        <v>0.45153935185185184</v>
      </c>
      <c r="H1298" s="31">
        <v>0.75206018518518514</v>
      </c>
      <c r="I1298" s="43">
        <f t="shared" si="2"/>
        <v>0.30052083333333329</v>
      </c>
      <c r="J1298" s="43">
        <v>0.3</v>
      </c>
      <c r="K1298" s="2">
        <f t="shared" si="6"/>
        <v>5.2083333333330373E-4</v>
      </c>
      <c r="L1298" s="3"/>
      <c r="M1298" s="4">
        <f t="shared" si="3"/>
        <v>0.17096090891584828</v>
      </c>
      <c r="N1298" s="4">
        <f t="shared" si="4"/>
        <v>1.0017361111111109</v>
      </c>
    </row>
    <row r="1299" spans="1:14" x14ac:dyDescent="0.3">
      <c r="A1299" s="29">
        <v>46136</v>
      </c>
      <c r="B1299" s="8">
        <f t="shared" si="0"/>
        <v>2026</v>
      </c>
      <c r="C1299" s="27" t="str">
        <f t="shared" si="1"/>
        <v>abril</v>
      </c>
      <c r="D1299" s="30" t="s">
        <v>77</v>
      </c>
      <c r="E1299" s="30" t="s">
        <v>34</v>
      </c>
      <c r="F1299" s="31">
        <v>3.9085648148148147E-2</v>
      </c>
      <c r="G1299" s="31">
        <v>0.44178240740740743</v>
      </c>
      <c r="H1299" s="31">
        <v>0.75175925925925924</v>
      </c>
      <c r="I1299" s="43">
        <f t="shared" si="2"/>
        <v>0.30997685185185181</v>
      </c>
      <c r="J1299" s="43">
        <v>0.3</v>
      </c>
      <c r="K1299" s="2">
        <f t="shared" si="6"/>
        <v>9.9768518518518201E-3</v>
      </c>
      <c r="L1299" s="3"/>
      <c r="M1299" s="4">
        <f t="shared" si="3"/>
        <v>0.12609215144500038</v>
      </c>
      <c r="N1299" s="4">
        <f t="shared" si="4"/>
        <v>1.033256172839506</v>
      </c>
    </row>
    <row r="1300" spans="1:14" x14ac:dyDescent="0.3">
      <c r="A1300" s="29">
        <v>46136</v>
      </c>
      <c r="B1300" s="8">
        <f t="shared" si="0"/>
        <v>2026</v>
      </c>
      <c r="C1300" s="27" t="str">
        <f t="shared" si="1"/>
        <v>abril</v>
      </c>
      <c r="D1300" s="30" t="s">
        <v>25</v>
      </c>
      <c r="E1300" s="30" t="s">
        <v>21</v>
      </c>
      <c r="F1300" s="31">
        <v>4.2569444444444444E-2</v>
      </c>
      <c r="G1300" s="31">
        <v>0.3336574074074074</v>
      </c>
      <c r="H1300" s="31">
        <v>0.63364583333333335</v>
      </c>
      <c r="I1300" s="43">
        <f t="shared" si="2"/>
        <v>0.29998842592592595</v>
      </c>
      <c r="J1300" s="43">
        <v>0.3</v>
      </c>
      <c r="K1300" s="2"/>
      <c r="L1300" s="3">
        <f t="shared" si="5"/>
        <v>1.1574074074038876E-5</v>
      </c>
      <c r="M1300" s="4">
        <f t="shared" si="3"/>
        <v>0.14190362282495467</v>
      </c>
      <c r="N1300" s="4">
        <f t="shared" si="4"/>
        <v>0.9999614197530865</v>
      </c>
    </row>
    <row r="1301" spans="1:14" x14ac:dyDescent="0.3">
      <c r="A1301" s="29">
        <v>46136</v>
      </c>
      <c r="B1301" s="8">
        <f t="shared" si="0"/>
        <v>2026</v>
      </c>
      <c r="C1301" s="27" t="str">
        <f t="shared" si="1"/>
        <v>abril</v>
      </c>
      <c r="D1301" s="30" t="s">
        <v>27</v>
      </c>
      <c r="E1301" s="30" t="s">
        <v>34</v>
      </c>
      <c r="F1301" s="31">
        <v>4.0439814814814817E-2</v>
      </c>
      <c r="G1301" s="31">
        <v>0.33383101851851854</v>
      </c>
      <c r="H1301" s="31">
        <v>0.63355324074074071</v>
      </c>
      <c r="I1301" s="43">
        <f t="shared" si="2"/>
        <v>0.29972222222222217</v>
      </c>
      <c r="J1301" s="43">
        <v>0.3</v>
      </c>
      <c r="K1301" s="2"/>
      <c r="L1301" s="3">
        <f t="shared" si="5"/>
        <v>2.777777777778212E-4</v>
      </c>
      <c r="M1301" s="4">
        <f t="shared" si="3"/>
        <v>0.13492431263515603</v>
      </c>
      <c r="N1301" s="4">
        <f t="shared" si="4"/>
        <v>0.99907407407407389</v>
      </c>
    </row>
    <row r="1302" spans="1:14" x14ac:dyDescent="0.3">
      <c r="A1302" s="29">
        <v>46136</v>
      </c>
      <c r="B1302" s="8">
        <f t="shared" si="0"/>
        <v>2026</v>
      </c>
      <c r="C1302" s="27" t="str">
        <f t="shared" si="1"/>
        <v>abril</v>
      </c>
      <c r="D1302" s="30" t="s">
        <v>68</v>
      </c>
      <c r="E1302" s="30" t="s">
        <v>21</v>
      </c>
      <c r="F1302" s="31">
        <v>8.2835648148148144E-2</v>
      </c>
      <c r="G1302" s="31">
        <v>0.46124999999999999</v>
      </c>
      <c r="H1302" s="31">
        <v>0.75027777777777782</v>
      </c>
      <c r="I1302" s="43">
        <f t="shared" si="2"/>
        <v>0.28902777777777783</v>
      </c>
      <c r="J1302" s="43">
        <v>0.3</v>
      </c>
      <c r="K1302" s="2"/>
      <c r="L1302" s="3">
        <f t="shared" si="5"/>
        <v>1.0972222222222161E-2</v>
      </c>
      <c r="M1302" s="4">
        <f t="shared" si="3"/>
        <v>0.28660099311228571</v>
      </c>
      <c r="N1302" s="4">
        <f t="shared" si="4"/>
        <v>0.96342592592592613</v>
      </c>
    </row>
    <row r="1303" spans="1:14" x14ac:dyDescent="0.3">
      <c r="A1303" s="29">
        <v>46136</v>
      </c>
      <c r="B1303" s="8">
        <f t="shared" si="0"/>
        <v>2026</v>
      </c>
      <c r="C1303" s="27" t="str">
        <f t="shared" si="1"/>
        <v>abril</v>
      </c>
      <c r="D1303" s="30" t="s">
        <v>32</v>
      </c>
      <c r="E1303" s="30" t="s">
        <v>34</v>
      </c>
      <c r="F1303" s="31">
        <v>4.4652777777777777E-2</v>
      </c>
      <c r="G1303" s="31">
        <v>0.4754976851851852</v>
      </c>
      <c r="H1303" s="31">
        <v>0.75013888888888891</v>
      </c>
      <c r="I1303" s="43">
        <f t="shared" si="2"/>
        <v>0.27464120370370371</v>
      </c>
      <c r="J1303" s="43">
        <v>0.3</v>
      </c>
      <c r="K1303" s="2"/>
      <c r="L1303" s="3">
        <f t="shared" si="5"/>
        <v>2.5358796296296282E-2</v>
      </c>
      <c r="M1303" s="4">
        <f t="shared" si="3"/>
        <v>0.16258586539677189</v>
      </c>
      <c r="N1303" s="4">
        <f t="shared" si="4"/>
        <v>0.91547067901234569</v>
      </c>
    </row>
    <row r="1304" spans="1:14" x14ac:dyDescent="0.3">
      <c r="A1304" s="29">
        <v>46136</v>
      </c>
      <c r="B1304" s="8">
        <f t="shared" si="0"/>
        <v>2026</v>
      </c>
      <c r="C1304" s="27" t="str">
        <f t="shared" si="1"/>
        <v>abril</v>
      </c>
      <c r="D1304" s="30" t="s">
        <v>91</v>
      </c>
      <c r="E1304" s="30" t="s">
        <v>34</v>
      </c>
      <c r="F1304" s="31">
        <v>5.2974537037037035E-2</v>
      </c>
      <c r="G1304" s="31">
        <v>0.45247685185185182</v>
      </c>
      <c r="H1304" s="31">
        <v>0.75025462962962963</v>
      </c>
      <c r="I1304" s="43">
        <f t="shared" si="2"/>
        <v>0.29777777777777781</v>
      </c>
      <c r="J1304" s="43">
        <v>0.3</v>
      </c>
      <c r="K1304" s="2"/>
      <c r="L1304" s="3">
        <f t="shared" si="5"/>
        <v>2.222222222222181E-3</v>
      </c>
      <c r="M1304" s="4">
        <f t="shared" si="3"/>
        <v>0.17789956467661688</v>
      </c>
      <c r="N1304" s="4">
        <f t="shared" si="4"/>
        <v>0.99259259259259269</v>
      </c>
    </row>
    <row r="1305" spans="1:14" x14ac:dyDescent="0.3">
      <c r="A1305" s="29">
        <v>46136</v>
      </c>
      <c r="B1305" s="8">
        <f t="shared" si="0"/>
        <v>2026</v>
      </c>
      <c r="C1305" s="27" t="str">
        <f t="shared" si="1"/>
        <v>abril</v>
      </c>
      <c r="D1305" s="30" t="s">
        <v>85</v>
      </c>
      <c r="E1305" s="30" t="s">
        <v>34</v>
      </c>
      <c r="F1305" s="31">
        <v>5.4722222222222221E-2</v>
      </c>
      <c r="G1305" s="31">
        <v>0.33703703703703702</v>
      </c>
      <c r="H1305" s="31">
        <v>0.63438657407407406</v>
      </c>
      <c r="I1305" s="43">
        <f t="shared" si="2"/>
        <v>0.29734953703703704</v>
      </c>
      <c r="J1305" s="43">
        <v>0.3</v>
      </c>
      <c r="K1305" s="2"/>
      <c r="L1305" s="3">
        <f t="shared" si="5"/>
        <v>2.6504629629629517E-3</v>
      </c>
      <c r="M1305" s="4">
        <f t="shared" si="3"/>
        <v>0.18403331906114981</v>
      </c>
      <c r="N1305" s="4">
        <f t="shared" si="4"/>
        <v>0.9911651234567902</v>
      </c>
    </row>
    <row r="1306" spans="1:14" x14ac:dyDescent="0.3">
      <c r="A1306" s="29">
        <v>46136</v>
      </c>
      <c r="B1306" s="8">
        <f t="shared" si="0"/>
        <v>2026</v>
      </c>
      <c r="C1306" s="27" t="str">
        <f t="shared" si="1"/>
        <v>abril</v>
      </c>
      <c r="D1306" s="30" t="s">
        <v>87</v>
      </c>
      <c r="E1306" s="30" t="s">
        <v>34</v>
      </c>
      <c r="F1306" s="31">
        <v>3.3530092592592591E-2</v>
      </c>
      <c r="G1306" s="31">
        <v>0.40940972222222222</v>
      </c>
      <c r="H1306" s="31">
        <v>0.75233796296296296</v>
      </c>
      <c r="I1306" s="43">
        <f t="shared" si="2"/>
        <v>0.34292824074074074</v>
      </c>
      <c r="J1306" s="43">
        <v>0.3</v>
      </c>
      <c r="K1306" s="2">
        <f t="shared" ref="K1306:K1308" si="7">I1306-J1306</f>
        <v>4.2928240740740753E-2</v>
      </c>
      <c r="L1306" s="3"/>
      <c r="M1306" s="4">
        <f t="shared" si="3"/>
        <v>9.7775827736339388E-2</v>
      </c>
      <c r="N1306" s="4">
        <f t="shared" si="4"/>
        <v>1.1430941358024691</v>
      </c>
    </row>
    <row r="1307" spans="1:14" x14ac:dyDescent="0.3">
      <c r="A1307" s="29">
        <v>46136</v>
      </c>
      <c r="B1307" s="8">
        <f t="shared" si="0"/>
        <v>2026</v>
      </c>
      <c r="C1307" s="27" t="str">
        <f t="shared" si="1"/>
        <v>abril</v>
      </c>
      <c r="D1307" s="30" t="s">
        <v>29</v>
      </c>
      <c r="E1307" s="30" t="s">
        <v>34</v>
      </c>
      <c r="F1307" s="31">
        <v>5.7060185185185186E-2</v>
      </c>
      <c r="G1307" s="31">
        <v>0.33195601851851853</v>
      </c>
      <c r="H1307" s="31">
        <v>0.65459490740740744</v>
      </c>
      <c r="I1307" s="43">
        <f t="shared" si="2"/>
        <v>0.32263888888888892</v>
      </c>
      <c r="J1307" s="43">
        <v>0.3</v>
      </c>
      <c r="K1307" s="2">
        <f t="shared" si="7"/>
        <v>2.2638888888888931E-2</v>
      </c>
      <c r="L1307" s="3"/>
      <c r="M1307" s="4">
        <f t="shared" si="3"/>
        <v>0.1768546419859377</v>
      </c>
      <c r="N1307" s="4">
        <f t="shared" si="4"/>
        <v>1.0754629629629631</v>
      </c>
    </row>
    <row r="1308" spans="1:14" x14ac:dyDescent="0.3">
      <c r="A1308" s="29">
        <v>46136</v>
      </c>
      <c r="B1308" s="8">
        <f t="shared" si="0"/>
        <v>2026</v>
      </c>
      <c r="C1308" s="27" t="str">
        <f t="shared" si="1"/>
        <v>abril</v>
      </c>
      <c r="D1308" s="30" t="s">
        <v>88</v>
      </c>
      <c r="E1308" s="30" t="s">
        <v>21</v>
      </c>
      <c r="F1308" s="31">
        <v>4.3171296296296298E-2</v>
      </c>
      <c r="G1308" s="31">
        <v>0.33439814814814817</v>
      </c>
      <c r="H1308" s="31">
        <v>0.65795138888888893</v>
      </c>
      <c r="I1308" s="43">
        <f t="shared" si="2"/>
        <v>0.32355324074074077</v>
      </c>
      <c r="J1308" s="43">
        <v>0.3</v>
      </c>
      <c r="K1308" s="2">
        <f t="shared" si="7"/>
        <v>2.3553240740740777E-2</v>
      </c>
      <c r="L1308" s="3"/>
      <c r="M1308" s="4">
        <f t="shared" si="3"/>
        <v>0.13342872473618314</v>
      </c>
      <c r="N1308" s="4">
        <f t="shared" si="4"/>
        <v>1.0785108024691359</v>
      </c>
    </row>
    <row r="1309" spans="1:14" x14ac:dyDescent="0.3">
      <c r="A1309" s="29">
        <v>46139</v>
      </c>
      <c r="B1309" s="8">
        <f t="shared" si="0"/>
        <v>2026</v>
      </c>
      <c r="C1309" s="27" t="str">
        <f t="shared" si="1"/>
        <v>abril</v>
      </c>
      <c r="D1309" s="30" t="s">
        <v>16</v>
      </c>
      <c r="E1309" s="30" t="s">
        <v>34</v>
      </c>
      <c r="F1309" s="31">
        <v>4.144675925925926E-2</v>
      </c>
      <c r="G1309" s="31">
        <v>0.33376157407407409</v>
      </c>
      <c r="H1309" s="31">
        <v>0.63354166666666667</v>
      </c>
      <c r="I1309" s="43">
        <f t="shared" si="2"/>
        <v>0.29978009259259258</v>
      </c>
      <c r="J1309" s="43">
        <v>0.3</v>
      </c>
      <c r="K1309" s="2"/>
      <c r="L1309" s="3">
        <f t="shared" si="5"/>
        <v>2.1990740740740478E-4</v>
      </c>
      <c r="M1309" s="4">
        <f t="shared" si="3"/>
        <v>0.13825721014632641</v>
      </c>
      <c r="N1309" s="4">
        <f t="shared" si="4"/>
        <v>0.99926697530864195</v>
      </c>
    </row>
    <row r="1310" spans="1:14" x14ac:dyDescent="0.3">
      <c r="A1310" s="29">
        <v>46139</v>
      </c>
      <c r="B1310" s="8">
        <f t="shared" si="0"/>
        <v>2026</v>
      </c>
      <c r="C1310" s="27" t="str">
        <f t="shared" si="1"/>
        <v>abril</v>
      </c>
      <c r="D1310" s="30" t="s">
        <v>47</v>
      </c>
      <c r="E1310" s="30" t="s">
        <v>34</v>
      </c>
      <c r="F1310" s="31">
        <v>4.7222222222222221E-2</v>
      </c>
      <c r="G1310" s="31">
        <v>0.51018518518518519</v>
      </c>
      <c r="H1310" s="31">
        <v>0.75105324074074076</v>
      </c>
      <c r="I1310" s="43">
        <f t="shared" si="2"/>
        <v>0.24086805555555557</v>
      </c>
      <c r="J1310" s="43">
        <v>0.25</v>
      </c>
      <c r="K1310" s="2"/>
      <c r="L1310" s="3">
        <f t="shared" si="5"/>
        <v>9.1319444444444287E-3</v>
      </c>
      <c r="M1310" s="4">
        <f t="shared" si="3"/>
        <v>0.1960501657777137</v>
      </c>
      <c r="N1310" s="4">
        <f t="shared" si="4"/>
        <v>0.96347222222222229</v>
      </c>
    </row>
    <row r="1311" spans="1:14" x14ac:dyDescent="0.3">
      <c r="A1311" s="29">
        <v>46139</v>
      </c>
      <c r="B1311" s="8">
        <f t="shared" si="0"/>
        <v>2026</v>
      </c>
      <c r="C1311" s="27" t="str">
        <f t="shared" si="1"/>
        <v>abril</v>
      </c>
      <c r="D1311" s="30" t="s">
        <v>19</v>
      </c>
      <c r="E1311" s="30" t="s">
        <v>34</v>
      </c>
      <c r="F1311" s="31">
        <v>4.3159722222222224E-2</v>
      </c>
      <c r="G1311" s="31">
        <v>0.3364699074074074</v>
      </c>
      <c r="H1311" s="31">
        <v>0.63401620370370371</v>
      </c>
      <c r="I1311" s="43">
        <f t="shared" si="2"/>
        <v>0.29754629629629631</v>
      </c>
      <c r="J1311" s="43">
        <v>0.3</v>
      </c>
      <c r="K1311" s="2"/>
      <c r="L1311" s="3">
        <f t="shared" si="5"/>
        <v>2.4537037037036802E-3</v>
      </c>
      <c r="M1311" s="4">
        <f t="shared" si="3"/>
        <v>0.14505212385249727</v>
      </c>
      <c r="N1311" s="4">
        <f t="shared" si="4"/>
        <v>0.99182098765432103</v>
      </c>
    </row>
    <row r="1312" spans="1:14" x14ac:dyDescent="0.3">
      <c r="A1312" s="29">
        <v>46139</v>
      </c>
      <c r="B1312" s="8">
        <f t="shared" si="0"/>
        <v>2026</v>
      </c>
      <c r="C1312" s="27" t="str">
        <f t="shared" si="1"/>
        <v>abril</v>
      </c>
      <c r="D1312" s="30" t="s">
        <v>22</v>
      </c>
      <c r="E1312" s="30" t="s">
        <v>34</v>
      </c>
      <c r="F1312" s="31">
        <v>3.5370370370370371E-2</v>
      </c>
      <c r="G1312" s="31">
        <v>0.46108796296296295</v>
      </c>
      <c r="H1312" s="31">
        <v>0.75163194444444448</v>
      </c>
      <c r="I1312" s="43">
        <f t="shared" si="2"/>
        <v>0.29054398148148153</v>
      </c>
      <c r="J1312" s="43">
        <v>0.3</v>
      </c>
      <c r="K1312" s="2"/>
      <c r="L1312" s="3">
        <f t="shared" si="5"/>
        <v>9.4560185185184609E-3</v>
      </c>
      <c r="M1312" s="4">
        <f t="shared" si="3"/>
        <v>0.12173843763693581</v>
      </c>
      <c r="N1312" s="4">
        <f t="shared" si="4"/>
        <v>0.96847993827160517</v>
      </c>
    </row>
    <row r="1313" spans="1:14" x14ac:dyDescent="0.3">
      <c r="A1313" s="29">
        <v>46139</v>
      </c>
      <c r="B1313" s="8">
        <f t="shared" si="0"/>
        <v>2026</v>
      </c>
      <c r="C1313" s="27" t="str">
        <f t="shared" si="1"/>
        <v>abril</v>
      </c>
      <c r="D1313" s="30" t="s">
        <v>33</v>
      </c>
      <c r="E1313" s="30" t="s">
        <v>34</v>
      </c>
      <c r="F1313" s="31">
        <v>2.6504629629629628E-2</v>
      </c>
      <c r="G1313" s="31">
        <v>0.33319444444444446</v>
      </c>
      <c r="H1313" s="31">
        <v>0.63393518518518521</v>
      </c>
      <c r="I1313" s="43">
        <f t="shared" si="2"/>
        <v>0.30074074074074075</v>
      </c>
      <c r="J1313" s="43">
        <v>0.3</v>
      </c>
      <c r="K1313" s="2">
        <f>I1313-J1313</f>
        <v>7.4074074074076401E-4</v>
      </c>
      <c r="L1313" s="3"/>
      <c r="M1313" s="4">
        <f t="shared" si="3"/>
        <v>8.8131157635467972E-2</v>
      </c>
      <c r="N1313" s="4">
        <f t="shared" si="4"/>
        <v>1.0024691358024693</v>
      </c>
    </row>
    <row r="1314" spans="1:14" x14ac:dyDescent="0.3">
      <c r="A1314" s="29">
        <v>46139</v>
      </c>
      <c r="B1314" s="8">
        <f t="shared" si="0"/>
        <v>2026</v>
      </c>
      <c r="C1314" s="27" t="str">
        <f t="shared" si="1"/>
        <v>abril</v>
      </c>
      <c r="D1314" s="30" t="s">
        <v>24</v>
      </c>
      <c r="E1314" s="30" t="s">
        <v>34</v>
      </c>
      <c r="F1314" s="31">
        <v>1.4537037037037038E-2</v>
      </c>
      <c r="G1314" s="31">
        <v>0.33387731481481481</v>
      </c>
      <c r="H1314" s="31">
        <v>0.42230324074074072</v>
      </c>
      <c r="I1314" s="43">
        <f t="shared" si="2"/>
        <v>8.8425925925925908E-2</v>
      </c>
      <c r="J1314" s="43">
        <v>0.3</v>
      </c>
      <c r="K1314" s="2"/>
      <c r="L1314" s="3">
        <f t="shared" si="5"/>
        <v>0.21157407407407408</v>
      </c>
      <c r="M1314" s="4">
        <f t="shared" si="3"/>
        <v>0.16439790575916235</v>
      </c>
      <c r="N1314" s="4">
        <f t="shared" si="4"/>
        <v>0.29475308641975306</v>
      </c>
    </row>
    <row r="1315" spans="1:14" x14ac:dyDescent="0.3">
      <c r="A1315" s="29">
        <v>46139</v>
      </c>
      <c r="B1315" s="8">
        <f t="shared" si="0"/>
        <v>2026</v>
      </c>
      <c r="C1315" s="27" t="str">
        <f t="shared" si="1"/>
        <v>abril</v>
      </c>
      <c r="D1315" s="30" t="s">
        <v>76</v>
      </c>
      <c r="E1315" s="30" t="s">
        <v>34</v>
      </c>
      <c r="F1315" s="31">
        <v>3.6469907407407409E-2</v>
      </c>
      <c r="G1315" s="31">
        <v>0.45023148148148145</v>
      </c>
      <c r="H1315" s="31">
        <v>0.75114583333333329</v>
      </c>
      <c r="I1315" s="43">
        <f t="shared" si="2"/>
        <v>0.30091435185185184</v>
      </c>
      <c r="J1315" s="43">
        <v>0.3</v>
      </c>
      <c r="K1315" s="2">
        <f t="shared" ref="K1315:K1317" si="8">I1315-J1315</f>
        <v>9.1435185185184675E-4</v>
      </c>
      <c r="L1315" s="3"/>
      <c r="M1315" s="4">
        <f t="shared" si="3"/>
        <v>0.12119696911419671</v>
      </c>
      <c r="N1315" s="4">
        <f t="shared" si="4"/>
        <v>1.0030478395061728</v>
      </c>
    </row>
    <row r="1316" spans="1:14" x14ac:dyDescent="0.3">
      <c r="A1316" s="29">
        <v>46139</v>
      </c>
      <c r="B1316" s="8">
        <f t="shared" si="0"/>
        <v>2026</v>
      </c>
      <c r="C1316" s="27" t="str">
        <f t="shared" si="1"/>
        <v>abril</v>
      </c>
      <c r="D1316" s="30" t="s">
        <v>77</v>
      </c>
      <c r="E1316" s="30" t="s">
        <v>34</v>
      </c>
      <c r="F1316" s="31">
        <v>3.7361111111111109E-2</v>
      </c>
      <c r="G1316" s="31">
        <v>0.44028935185185186</v>
      </c>
      <c r="H1316" s="31">
        <v>0.7502199074074074</v>
      </c>
      <c r="I1316" s="43">
        <f t="shared" si="2"/>
        <v>0.30993055555555554</v>
      </c>
      <c r="J1316" s="43">
        <v>0.3</v>
      </c>
      <c r="K1316" s="2">
        <f t="shared" si="8"/>
        <v>9.9305555555555536E-3</v>
      </c>
      <c r="L1316" s="3"/>
      <c r="M1316" s="4">
        <f t="shared" si="3"/>
        <v>0.12054671745462693</v>
      </c>
      <c r="N1316" s="4">
        <f t="shared" si="4"/>
        <v>1.0331018518518518</v>
      </c>
    </row>
    <row r="1317" spans="1:14" x14ac:dyDescent="0.3">
      <c r="A1317" s="29">
        <v>46139</v>
      </c>
      <c r="B1317" s="8">
        <f t="shared" si="0"/>
        <v>2026</v>
      </c>
      <c r="C1317" s="27" t="str">
        <f t="shared" si="1"/>
        <v>abril</v>
      </c>
      <c r="D1317" s="30" t="s">
        <v>25</v>
      </c>
      <c r="E1317" s="30" t="s">
        <v>21</v>
      </c>
      <c r="F1317" s="31">
        <v>4.2812500000000003E-2</v>
      </c>
      <c r="G1317" s="31">
        <v>0.33346064814814813</v>
      </c>
      <c r="H1317" s="31">
        <v>0.64041666666666663</v>
      </c>
      <c r="I1317" s="43">
        <f t="shared" si="2"/>
        <v>0.3069560185185185</v>
      </c>
      <c r="J1317" s="43">
        <v>0.3</v>
      </c>
      <c r="K1317" s="2">
        <f t="shared" si="8"/>
        <v>6.9560185185185142E-3</v>
      </c>
      <c r="L1317" s="3"/>
      <c r="M1317" s="4">
        <f t="shared" si="3"/>
        <v>0.13947437879416313</v>
      </c>
      <c r="N1317" s="4">
        <f t="shared" si="4"/>
        <v>1.0231867283950618</v>
      </c>
    </row>
    <row r="1318" spans="1:14" x14ac:dyDescent="0.3">
      <c r="A1318" s="29">
        <v>46139</v>
      </c>
      <c r="B1318" s="8">
        <f t="shared" si="0"/>
        <v>2026</v>
      </c>
      <c r="C1318" s="27" t="str">
        <f t="shared" si="1"/>
        <v>abril</v>
      </c>
      <c r="D1318" s="30" t="s">
        <v>26</v>
      </c>
      <c r="E1318" s="30" t="s">
        <v>34</v>
      </c>
      <c r="F1318" s="31">
        <v>2.3460648148148147E-2</v>
      </c>
      <c r="G1318" s="31">
        <v>0.3576273148148148</v>
      </c>
      <c r="H1318" s="31">
        <v>0.6343981481481481</v>
      </c>
      <c r="I1318" s="43">
        <f t="shared" si="2"/>
        <v>0.2767708333333333</v>
      </c>
      <c r="J1318" s="43">
        <v>0.3</v>
      </c>
      <c r="K1318" s="2"/>
      <c r="L1318" s="3">
        <f t="shared" si="5"/>
        <v>2.322916666666669E-2</v>
      </c>
      <c r="M1318" s="4">
        <f t="shared" si="3"/>
        <v>8.4765608664743031E-2</v>
      </c>
      <c r="N1318" s="4">
        <f t="shared" si="4"/>
        <v>0.92256944444444433</v>
      </c>
    </row>
    <row r="1319" spans="1:14" x14ac:dyDescent="0.3">
      <c r="A1319" s="29">
        <v>46139</v>
      </c>
      <c r="B1319" s="8">
        <f t="shared" si="0"/>
        <v>2026</v>
      </c>
      <c r="C1319" s="27" t="str">
        <f t="shared" si="1"/>
        <v>abril</v>
      </c>
      <c r="D1319" s="30" t="s">
        <v>27</v>
      </c>
      <c r="E1319" s="30" t="s">
        <v>34</v>
      </c>
      <c r="F1319" s="31">
        <v>2.2337962962962962E-2</v>
      </c>
      <c r="G1319" s="31">
        <v>0.3334375</v>
      </c>
      <c r="H1319" s="31">
        <v>0.6381134259259259</v>
      </c>
      <c r="I1319" s="43">
        <f t="shared" si="2"/>
        <v>0.30467592592592591</v>
      </c>
      <c r="J1319" s="43">
        <v>0.3</v>
      </c>
      <c r="K1319" s="2">
        <f>I1319-J1319</f>
        <v>4.6759259259259167E-3</v>
      </c>
      <c r="L1319" s="3"/>
      <c r="M1319" s="4">
        <f t="shared" si="3"/>
        <v>7.3317125056982221E-2</v>
      </c>
      <c r="N1319" s="4">
        <f t="shared" si="4"/>
        <v>1.0155864197530864</v>
      </c>
    </row>
    <row r="1320" spans="1:14" x14ac:dyDescent="0.3">
      <c r="A1320" s="29">
        <v>46139</v>
      </c>
      <c r="B1320" s="8">
        <f t="shared" si="0"/>
        <v>2026</v>
      </c>
      <c r="C1320" s="27" t="str">
        <f t="shared" si="1"/>
        <v>abril</v>
      </c>
      <c r="D1320" s="30" t="s">
        <v>68</v>
      </c>
      <c r="E1320" s="30" t="s">
        <v>21</v>
      </c>
      <c r="F1320" s="31">
        <v>5.7349537037037039E-2</v>
      </c>
      <c r="G1320" s="31">
        <v>0.33795138888888887</v>
      </c>
      <c r="H1320" s="31">
        <v>0.63440972222222225</v>
      </c>
      <c r="I1320" s="43">
        <f t="shared" si="2"/>
        <v>0.29645833333333338</v>
      </c>
      <c r="J1320" s="43">
        <v>0.3</v>
      </c>
      <c r="K1320" s="2"/>
      <c r="L1320" s="3">
        <f t="shared" si="5"/>
        <v>3.5416666666666097E-3</v>
      </c>
      <c r="M1320" s="4">
        <f t="shared" si="3"/>
        <v>0.19344889513547275</v>
      </c>
      <c r="N1320" s="4">
        <f t="shared" si="4"/>
        <v>0.9881944444444446</v>
      </c>
    </row>
    <row r="1321" spans="1:14" x14ac:dyDescent="0.3">
      <c r="A1321" s="29">
        <v>46139</v>
      </c>
      <c r="B1321" s="8">
        <f t="shared" si="0"/>
        <v>2026</v>
      </c>
      <c r="C1321" s="27" t="str">
        <f t="shared" si="1"/>
        <v>abril</v>
      </c>
      <c r="D1321" s="30" t="s">
        <v>32</v>
      </c>
      <c r="E1321" s="30" t="s">
        <v>34</v>
      </c>
      <c r="F1321" s="31">
        <v>5.2013888888888887E-2</v>
      </c>
      <c r="G1321" s="31">
        <v>0.45332175925925927</v>
      </c>
      <c r="H1321" s="31">
        <v>0.75040509259259258</v>
      </c>
      <c r="I1321" s="43">
        <f t="shared" si="2"/>
        <v>0.29708333333333331</v>
      </c>
      <c r="J1321" s="43">
        <v>0.3</v>
      </c>
      <c r="K1321" s="2"/>
      <c r="L1321" s="3">
        <f t="shared" si="5"/>
        <v>2.9166666666666785E-3</v>
      </c>
      <c r="M1321" s="4">
        <f t="shared" si="3"/>
        <v>0.17508181393174382</v>
      </c>
      <c r="N1321" s="4">
        <f t="shared" si="4"/>
        <v>0.9902777777777777</v>
      </c>
    </row>
    <row r="1322" spans="1:14" x14ac:dyDescent="0.3">
      <c r="A1322" s="29">
        <v>46139</v>
      </c>
      <c r="B1322" s="8">
        <f t="shared" si="0"/>
        <v>2026</v>
      </c>
      <c r="C1322" s="27" t="str">
        <f t="shared" si="1"/>
        <v>abril</v>
      </c>
      <c r="D1322" s="30" t="s">
        <v>91</v>
      </c>
      <c r="E1322" s="30" t="s">
        <v>34</v>
      </c>
      <c r="F1322" s="31">
        <v>5.2453703703703704E-2</v>
      </c>
      <c r="G1322" s="31">
        <v>0.45269675925925928</v>
      </c>
      <c r="H1322" s="31">
        <v>0.75064814814814818</v>
      </c>
      <c r="I1322" s="43">
        <f t="shared" si="2"/>
        <v>0.29795138888888889</v>
      </c>
      <c r="J1322" s="43">
        <v>0.3</v>
      </c>
      <c r="K1322" s="2"/>
      <c r="L1322" s="3">
        <f t="shared" si="5"/>
        <v>2.0486111111110983E-3</v>
      </c>
      <c r="M1322" s="4">
        <f t="shared" si="3"/>
        <v>0.17604785767004621</v>
      </c>
      <c r="N1322" s="4">
        <f t="shared" si="4"/>
        <v>0.9931712962962963</v>
      </c>
    </row>
    <row r="1323" spans="1:14" x14ac:dyDescent="0.3">
      <c r="A1323" s="29">
        <v>46139</v>
      </c>
      <c r="B1323" s="8">
        <f t="shared" si="0"/>
        <v>2026</v>
      </c>
      <c r="C1323" s="27" t="str">
        <f t="shared" si="1"/>
        <v>abril</v>
      </c>
      <c r="D1323" s="30" t="s">
        <v>85</v>
      </c>
      <c r="E1323" s="30" t="s">
        <v>34</v>
      </c>
      <c r="F1323" s="31">
        <v>3.4745370370370371E-2</v>
      </c>
      <c r="G1323" s="31">
        <v>0.33649305555555553</v>
      </c>
      <c r="H1323" s="31">
        <v>0.64738425925925924</v>
      </c>
      <c r="I1323" s="43">
        <f t="shared" si="2"/>
        <v>0.31089120370370371</v>
      </c>
      <c r="J1323" s="43">
        <v>0.3</v>
      </c>
      <c r="K1323" s="2">
        <f t="shared" ref="K1323:K1325" si="9">I1323-J1323</f>
        <v>1.0891203703703722E-2</v>
      </c>
      <c r="L1323" s="3"/>
      <c r="M1323" s="4">
        <f t="shared" si="3"/>
        <v>0.11176054502810766</v>
      </c>
      <c r="N1323" s="4">
        <f t="shared" si="4"/>
        <v>1.036304012345679</v>
      </c>
    </row>
    <row r="1324" spans="1:14" x14ac:dyDescent="0.3">
      <c r="A1324" s="29">
        <v>46139</v>
      </c>
      <c r="B1324" s="8">
        <f t="shared" si="0"/>
        <v>2026</v>
      </c>
      <c r="C1324" s="27" t="str">
        <f t="shared" si="1"/>
        <v>abril</v>
      </c>
      <c r="D1324" s="30" t="s">
        <v>87</v>
      </c>
      <c r="E1324" s="30" t="s">
        <v>34</v>
      </c>
      <c r="F1324" s="31">
        <v>3.6585648148148145E-2</v>
      </c>
      <c r="G1324" s="31">
        <v>0.40894675925925927</v>
      </c>
      <c r="H1324" s="31">
        <v>0.75070601851851848</v>
      </c>
      <c r="I1324" s="43">
        <f t="shared" si="2"/>
        <v>0.34175925925925921</v>
      </c>
      <c r="J1324" s="43">
        <v>0.3</v>
      </c>
      <c r="K1324" s="2">
        <f t="shared" si="9"/>
        <v>4.1759259259259218E-2</v>
      </c>
      <c r="L1324" s="3"/>
      <c r="M1324" s="4">
        <f t="shared" si="3"/>
        <v>0.10705093470604173</v>
      </c>
      <c r="N1324" s="4">
        <f t="shared" si="4"/>
        <v>1.1391975308641975</v>
      </c>
    </row>
    <row r="1325" spans="1:14" x14ac:dyDescent="0.3">
      <c r="A1325" s="29">
        <v>46139</v>
      </c>
      <c r="B1325" s="8">
        <f t="shared" si="0"/>
        <v>2026</v>
      </c>
      <c r="C1325" s="27" t="str">
        <f t="shared" si="1"/>
        <v>abril</v>
      </c>
      <c r="D1325" s="30" t="s">
        <v>29</v>
      </c>
      <c r="E1325" s="30" t="s">
        <v>34</v>
      </c>
      <c r="F1325" s="31">
        <v>5.0844907407407408E-2</v>
      </c>
      <c r="G1325" s="31">
        <v>0.3435300925925926</v>
      </c>
      <c r="H1325" s="31">
        <v>0.65877314814814814</v>
      </c>
      <c r="I1325" s="43">
        <f t="shared" si="2"/>
        <v>0.31524305555555554</v>
      </c>
      <c r="J1325" s="43">
        <v>0.3</v>
      </c>
      <c r="K1325" s="2">
        <f t="shared" si="9"/>
        <v>1.5243055555555551E-2</v>
      </c>
      <c r="L1325" s="3"/>
      <c r="M1325" s="4">
        <f t="shared" si="3"/>
        <v>0.16128795388625766</v>
      </c>
      <c r="N1325" s="4">
        <f t="shared" si="4"/>
        <v>1.0508101851851852</v>
      </c>
    </row>
    <row r="1326" spans="1:14" x14ac:dyDescent="0.3">
      <c r="A1326" s="29">
        <v>46139</v>
      </c>
      <c r="B1326" s="8">
        <f t="shared" si="0"/>
        <v>2026</v>
      </c>
      <c r="C1326" s="27" t="str">
        <f t="shared" si="1"/>
        <v>abril</v>
      </c>
      <c r="D1326" s="30" t="s">
        <v>88</v>
      </c>
      <c r="E1326" s="30" t="s">
        <v>21</v>
      </c>
      <c r="F1326" s="31">
        <v>4.5173611111111109E-2</v>
      </c>
      <c r="G1326" s="31">
        <v>0.33496527777777779</v>
      </c>
      <c r="H1326" s="31">
        <v>0.63445601851851852</v>
      </c>
      <c r="I1326" s="43">
        <f t="shared" si="2"/>
        <v>0.29949074074074072</v>
      </c>
      <c r="J1326" s="43">
        <v>0.3</v>
      </c>
      <c r="K1326" s="2"/>
      <c r="L1326" s="3">
        <f t="shared" si="5"/>
        <v>5.0925925925926485E-4</v>
      </c>
      <c r="M1326" s="4">
        <f t="shared" si="3"/>
        <v>0.15083475034781266</v>
      </c>
      <c r="N1326" s="4">
        <f t="shared" si="4"/>
        <v>0.99830246913580245</v>
      </c>
    </row>
  </sheetData>
  <autoFilter ref="A1:N1291" xr:uid="{32A597D5-0E2E-4A69-BF5C-229A58760375}">
    <sortState xmlns:xlrd2="http://schemas.microsoft.com/office/spreadsheetml/2017/richdata2" ref="A2:N1291">
      <sortCondition ref="A1:A1291"/>
    </sortState>
  </autoFilter>
  <phoneticPr fontId="1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C0DD-B4B4-45DB-8495-21276701CD3D}">
  <dimension ref="A1:N27"/>
  <sheetViews>
    <sheetView showGridLines="0" workbookViewId="0">
      <pane ySplit="1" topLeftCell="A2" activePane="bottomLeft" state="frozen"/>
      <selection pane="bottomLeft" activeCell="M6" sqref="M6"/>
    </sheetView>
  </sheetViews>
  <sheetFormatPr defaultRowHeight="14.4" x14ac:dyDescent="0.3"/>
  <cols>
    <col min="1" max="1" width="36.109375" style="15" bestFit="1" customWidth="1"/>
    <col min="2" max="2" width="13.109375" style="16" customWidth="1"/>
    <col min="3" max="3" width="12.33203125" style="22" customWidth="1"/>
    <col min="4" max="4" width="18.44140625" style="22" bestFit="1" customWidth="1"/>
    <col min="5" max="5" width="12.33203125" style="22" customWidth="1"/>
    <col min="6" max="6" width="16.44140625" style="16" bestFit="1" customWidth="1"/>
    <col min="7" max="7" width="16.44140625" style="51" customWidth="1"/>
    <col min="8" max="8" width="16" style="16" bestFit="1" customWidth="1"/>
    <col min="9" max="9" width="40.6640625" style="15" customWidth="1"/>
    <col min="12" max="12" width="0" hidden="1" customWidth="1"/>
  </cols>
  <sheetData>
    <row r="1" spans="1:12" x14ac:dyDescent="0.3">
      <c r="A1" s="14" t="s">
        <v>38</v>
      </c>
      <c r="B1" s="14" t="s">
        <v>39</v>
      </c>
      <c r="C1" s="20" t="s">
        <v>40</v>
      </c>
      <c r="D1" s="20" t="s">
        <v>80</v>
      </c>
      <c r="E1" s="20" t="s">
        <v>81</v>
      </c>
      <c r="F1" s="14" t="s">
        <v>66</v>
      </c>
      <c r="G1" s="48" t="s">
        <v>82</v>
      </c>
      <c r="H1" s="14" t="s">
        <v>41</v>
      </c>
      <c r="I1" s="14" t="s">
        <v>42</v>
      </c>
      <c r="L1" s="18" t="s">
        <v>59</v>
      </c>
    </row>
    <row r="2" spans="1:12" x14ac:dyDescent="0.3">
      <c r="A2" s="34" t="s">
        <v>46</v>
      </c>
      <c r="B2" s="19">
        <v>0.38618055555555558</v>
      </c>
      <c r="C2" s="21">
        <v>0.14917824074074074</v>
      </c>
      <c r="D2" s="21">
        <v>0.25</v>
      </c>
      <c r="E2" s="21">
        <f>SUM(C2:D2)</f>
        <v>0.39917824074074071</v>
      </c>
      <c r="F2" s="23">
        <f t="shared" ref="F2:F7" si="0">E2-B2</f>
        <v>1.2997685185185126E-2</v>
      </c>
      <c r="G2" s="49"/>
      <c r="H2" s="35">
        <v>2212</v>
      </c>
      <c r="I2" s="61" t="s">
        <v>55</v>
      </c>
      <c r="L2" s="18" t="s">
        <v>60</v>
      </c>
    </row>
    <row r="3" spans="1:12" x14ac:dyDescent="0.3">
      <c r="A3" s="52" t="s">
        <v>48</v>
      </c>
      <c r="B3" s="19"/>
      <c r="C3" s="21"/>
      <c r="D3" s="21"/>
      <c r="E3" s="21">
        <f t="shared" ref="E3:E23" si="1">SUM(C3:D3)</f>
        <v>0</v>
      </c>
      <c r="F3" s="23">
        <f t="shared" si="0"/>
        <v>0</v>
      </c>
      <c r="G3" s="23"/>
      <c r="H3" s="57">
        <v>4990</v>
      </c>
      <c r="I3" s="62" t="s">
        <v>55</v>
      </c>
      <c r="L3" s="18" t="s">
        <v>61</v>
      </c>
    </row>
    <row r="4" spans="1:12" x14ac:dyDescent="0.3">
      <c r="A4" s="53" t="s">
        <v>93</v>
      </c>
      <c r="B4" s="19">
        <v>0.22668981481481482</v>
      </c>
      <c r="C4" s="21">
        <v>0.11363425925925925</v>
      </c>
      <c r="D4" s="21">
        <v>0.25</v>
      </c>
      <c r="E4" s="21">
        <f t="shared" si="1"/>
        <v>0.36363425925925924</v>
      </c>
      <c r="F4" s="23">
        <f t="shared" si="0"/>
        <v>0.13694444444444442</v>
      </c>
      <c r="G4" s="49"/>
      <c r="H4" s="35">
        <v>1686</v>
      </c>
      <c r="I4" s="62" t="s">
        <v>55</v>
      </c>
      <c r="L4" s="18" t="s">
        <v>62</v>
      </c>
    </row>
    <row r="5" spans="1:12" x14ac:dyDescent="0.3">
      <c r="A5" s="53" t="s">
        <v>69</v>
      </c>
      <c r="B5" s="19">
        <v>0.36431712962962964</v>
      </c>
      <c r="C5" s="21">
        <v>0.21217592592592593</v>
      </c>
      <c r="D5" s="21">
        <v>0.5</v>
      </c>
      <c r="E5" s="21">
        <f t="shared" si="1"/>
        <v>0.71217592592592593</v>
      </c>
      <c r="F5" s="23">
        <f t="shared" si="0"/>
        <v>0.34785879629629629</v>
      </c>
      <c r="G5" s="23"/>
      <c r="H5" s="35">
        <v>7323</v>
      </c>
      <c r="I5" s="62" t="s">
        <v>55</v>
      </c>
      <c r="L5" s="18"/>
    </row>
    <row r="6" spans="1:12" x14ac:dyDescent="0.3">
      <c r="A6" s="54" t="s">
        <v>53</v>
      </c>
      <c r="B6" s="19">
        <v>0.22966435185185186</v>
      </c>
      <c r="C6" s="21">
        <v>3.8136574074074073E-2</v>
      </c>
      <c r="D6" s="21">
        <v>0.25</v>
      </c>
      <c r="E6" s="21">
        <f t="shared" si="1"/>
        <v>0.28813657407407406</v>
      </c>
      <c r="F6" s="23">
        <f t="shared" si="0"/>
        <v>5.8472222222222203E-2</v>
      </c>
      <c r="G6" s="23"/>
      <c r="H6" s="58">
        <v>6292</v>
      </c>
      <c r="I6" s="62" t="s">
        <v>55</v>
      </c>
      <c r="K6" s="25"/>
      <c r="L6" s="18" t="s">
        <v>63</v>
      </c>
    </row>
    <row r="7" spans="1:12" x14ac:dyDescent="0.3">
      <c r="A7" s="55" t="s">
        <v>43</v>
      </c>
      <c r="B7" s="19">
        <v>0.23781250000000001</v>
      </c>
      <c r="C7" s="21">
        <v>1.2847222222222223E-3</v>
      </c>
      <c r="D7" s="21">
        <v>0.25</v>
      </c>
      <c r="E7" s="21">
        <f t="shared" si="1"/>
        <v>0.2512847222222222</v>
      </c>
      <c r="F7" s="23">
        <f t="shared" si="0"/>
        <v>1.3472222222222191E-2</v>
      </c>
      <c r="G7" s="49"/>
      <c r="H7" s="59">
        <v>5632</v>
      </c>
      <c r="I7" s="62" t="s">
        <v>55</v>
      </c>
      <c r="K7" s="25"/>
      <c r="L7" s="18" t="s">
        <v>64</v>
      </c>
    </row>
    <row r="8" spans="1:12" x14ac:dyDescent="0.3">
      <c r="A8" s="52" t="s">
        <v>49</v>
      </c>
      <c r="B8" s="19">
        <v>4.4618055555555557E-2</v>
      </c>
      <c r="C8" s="21">
        <v>0.2543287037037037</v>
      </c>
      <c r="D8" s="21">
        <v>0.15</v>
      </c>
      <c r="E8" s="21">
        <f t="shared" si="1"/>
        <v>0.40432870370370366</v>
      </c>
      <c r="F8" s="23">
        <f t="shared" ref="F8:F23" si="2">E8-B8</f>
        <v>0.35971064814814813</v>
      </c>
      <c r="G8" s="49"/>
      <c r="H8" s="57">
        <v>1138</v>
      </c>
      <c r="I8" s="62" t="s">
        <v>55</v>
      </c>
    </row>
    <row r="9" spans="1:12" x14ac:dyDescent="0.3">
      <c r="A9" s="54" t="s">
        <v>83</v>
      </c>
      <c r="B9" s="19">
        <v>0.24112268518518518</v>
      </c>
      <c r="C9" s="21">
        <v>0.15502314814814816</v>
      </c>
      <c r="D9" s="21">
        <v>0.25</v>
      </c>
      <c r="E9" s="21">
        <f t="shared" si="1"/>
        <v>0.40502314814814816</v>
      </c>
      <c r="F9" s="23">
        <f t="shared" si="2"/>
        <v>0.16390046296296298</v>
      </c>
      <c r="G9" s="49"/>
      <c r="H9" s="58">
        <v>886</v>
      </c>
      <c r="I9" s="62" t="s">
        <v>55</v>
      </c>
      <c r="K9" s="24"/>
    </row>
    <row r="10" spans="1:12" x14ac:dyDescent="0.3">
      <c r="A10" s="54" t="s">
        <v>84</v>
      </c>
      <c r="B10" s="19">
        <v>7.7939814814814809E-2</v>
      </c>
      <c r="C10" s="21">
        <v>8.188657407407407E-2</v>
      </c>
      <c r="D10" s="21">
        <v>0.25</v>
      </c>
      <c r="E10" s="21">
        <f t="shared" si="1"/>
        <v>0.33188657407407407</v>
      </c>
      <c r="F10" s="23">
        <f t="shared" si="2"/>
        <v>0.25394675925925925</v>
      </c>
      <c r="G10" s="23"/>
      <c r="H10" s="58">
        <v>7339</v>
      </c>
      <c r="I10" s="62" t="s">
        <v>55</v>
      </c>
    </row>
    <row r="11" spans="1:12" x14ac:dyDescent="0.3">
      <c r="A11" s="54" t="s">
        <v>44</v>
      </c>
      <c r="B11" s="19">
        <v>0.41930555555555554</v>
      </c>
      <c r="C11" s="21"/>
      <c r="D11" s="21">
        <v>0.15</v>
      </c>
      <c r="E11" s="21">
        <f t="shared" si="1"/>
        <v>0.15</v>
      </c>
      <c r="F11" s="49">
        <f>B11-D11</f>
        <v>0.26930555555555558</v>
      </c>
      <c r="G11" s="49"/>
      <c r="H11" s="58">
        <v>640</v>
      </c>
      <c r="I11" s="62" t="s">
        <v>55</v>
      </c>
    </row>
    <row r="12" spans="1:12" x14ac:dyDescent="0.3">
      <c r="A12" s="54" t="s">
        <v>32</v>
      </c>
      <c r="B12" s="19">
        <v>0.24850694444444443</v>
      </c>
      <c r="C12" s="21">
        <v>7.1956018518518516E-2</v>
      </c>
      <c r="D12" s="21">
        <v>0.25</v>
      </c>
      <c r="E12" s="21">
        <f t="shared" si="1"/>
        <v>0.32195601851851852</v>
      </c>
      <c r="F12" s="23">
        <f t="shared" si="2"/>
        <v>7.3449074074074083E-2</v>
      </c>
      <c r="G12" s="50"/>
      <c r="H12" s="58">
        <v>6722</v>
      </c>
      <c r="I12" s="62" t="s">
        <v>55</v>
      </c>
    </row>
    <row r="13" spans="1:12" x14ac:dyDescent="0.3">
      <c r="A13" s="56" t="s">
        <v>30</v>
      </c>
      <c r="B13" s="19"/>
      <c r="C13" s="21"/>
      <c r="D13" s="21">
        <v>0.25</v>
      </c>
      <c r="E13" s="21">
        <f t="shared" si="1"/>
        <v>0.25</v>
      </c>
      <c r="F13" s="23">
        <f t="shared" si="2"/>
        <v>0.25</v>
      </c>
      <c r="G13" s="49"/>
      <c r="H13" s="60">
        <v>6709</v>
      </c>
      <c r="I13" s="62" t="s">
        <v>55</v>
      </c>
    </row>
    <row r="14" spans="1:12" x14ac:dyDescent="0.3">
      <c r="A14" s="52" t="s">
        <v>51</v>
      </c>
      <c r="B14" s="19">
        <v>0.29472222222222222</v>
      </c>
      <c r="C14" s="21">
        <v>0.2686574074074074</v>
      </c>
      <c r="D14" s="21">
        <v>0.25</v>
      </c>
      <c r="E14" s="21">
        <f t="shared" si="1"/>
        <v>0.5186574074074074</v>
      </c>
      <c r="F14" s="23">
        <f t="shared" si="2"/>
        <v>0.22393518518518518</v>
      </c>
      <c r="G14" s="49"/>
      <c r="H14" s="57">
        <v>1124</v>
      </c>
      <c r="I14" s="62" t="s">
        <v>55</v>
      </c>
    </row>
    <row r="15" spans="1:12" x14ac:dyDescent="0.3">
      <c r="A15" s="52" t="s">
        <v>85</v>
      </c>
      <c r="B15" s="19"/>
      <c r="C15" s="21"/>
      <c r="D15" s="21">
        <v>0.1</v>
      </c>
      <c r="E15" s="21">
        <f t="shared" si="1"/>
        <v>0.1</v>
      </c>
      <c r="F15" s="23">
        <f t="shared" si="2"/>
        <v>0.1</v>
      </c>
      <c r="G15" s="49"/>
      <c r="H15" s="57">
        <v>7764</v>
      </c>
      <c r="I15" s="62" t="s">
        <v>55</v>
      </c>
    </row>
    <row r="16" spans="1:12" x14ac:dyDescent="0.3">
      <c r="A16" s="52" t="s">
        <v>86</v>
      </c>
      <c r="B16" s="19"/>
      <c r="C16" s="19">
        <v>2.3495370370370371E-3</v>
      </c>
      <c r="D16" s="21">
        <v>0.1</v>
      </c>
      <c r="E16" s="21">
        <f t="shared" si="1"/>
        <v>0.10234953703703704</v>
      </c>
      <c r="F16" s="23">
        <f t="shared" si="2"/>
        <v>0.10234953703703704</v>
      </c>
      <c r="G16" s="49"/>
      <c r="H16" s="57">
        <v>7780</v>
      </c>
      <c r="I16" s="62" t="s">
        <v>55</v>
      </c>
    </row>
    <row r="17" spans="1:14" x14ac:dyDescent="0.3">
      <c r="A17" s="52" t="s">
        <v>87</v>
      </c>
      <c r="B17" s="19"/>
      <c r="C17" s="21"/>
      <c r="D17" s="21">
        <v>0.1</v>
      </c>
      <c r="E17" s="21">
        <f t="shared" si="1"/>
        <v>0.1</v>
      </c>
      <c r="F17" s="23">
        <f t="shared" si="2"/>
        <v>0.1</v>
      </c>
      <c r="G17" s="49"/>
      <c r="H17" s="57">
        <v>7774</v>
      </c>
      <c r="I17" s="62" t="s">
        <v>55</v>
      </c>
      <c r="N17" s="24">
        <v>0.05</v>
      </c>
    </row>
    <row r="18" spans="1:14" x14ac:dyDescent="0.3">
      <c r="A18" s="52" t="s">
        <v>91</v>
      </c>
      <c r="B18" s="19"/>
      <c r="C18" s="21"/>
      <c r="D18" s="21">
        <v>0.1</v>
      </c>
      <c r="E18" s="21">
        <f t="shared" si="1"/>
        <v>0.1</v>
      </c>
      <c r="F18" s="23">
        <f t="shared" si="2"/>
        <v>0.1</v>
      </c>
      <c r="G18" s="49"/>
      <c r="H18" s="57">
        <v>7778</v>
      </c>
      <c r="I18" s="63" t="s">
        <v>55</v>
      </c>
      <c r="N18" s="24">
        <f>N17*4</f>
        <v>0.2</v>
      </c>
    </row>
    <row r="19" spans="1:14" x14ac:dyDescent="0.3">
      <c r="A19" s="52" t="s">
        <v>47</v>
      </c>
      <c r="B19" s="19"/>
      <c r="C19" s="21">
        <v>0.32336805555555553</v>
      </c>
      <c r="D19" s="21"/>
      <c r="E19" s="21">
        <f t="shared" si="1"/>
        <v>0.32336805555555553</v>
      </c>
      <c r="F19" s="23">
        <f t="shared" si="2"/>
        <v>0.32336805555555553</v>
      </c>
      <c r="G19" s="49"/>
      <c r="H19" s="57">
        <v>7169</v>
      </c>
      <c r="I19" s="63" t="s">
        <v>56</v>
      </c>
    </row>
    <row r="20" spans="1:14" x14ac:dyDescent="0.3">
      <c r="A20" s="52" t="s">
        <v>52</v>
      </c>
      <c r="B20" s="19">
        <v>0.12101851851851853</v>
      </c>
      <c r="C20" s="21">
        <v>2.9085648148148149E-2</v>
      </c>
      <c r="D20" s="21"/>
      <c r="E20" s="21">
        <f t="shared" si="1"/>
        <v>2.9085648148148149E-2</v>
      </c>
      <c r="F20" s="49">
        <f>B20-C20</f>
        <v>9.1932870370370373E-2</v>
      </c>
      <c r="G20" s="49"/>
      <c r="H20" s="57">
        <v>2129</v>
      </c>
      <c r="I20" s="64" t="s">
        <v>57</v>
      </c>
    </row>
    <row r="21" spans="1:14" x14ac:dyDescent="0.3">
      <c r="A21" s="54" t="s">
        <v>54</v>
      </c>
      <c r="B21" s="19">
        <v>0.34243055555555557</v>
      </c>
      <c r="C21" s="21">
        <v>0.11498842592592592</v>
      </c>
      <c r="D21" s="21">
        <v>0.25</v>
      </c>
      <c r="E21" s="21">
        <f t="shared" si="1"/>
        <v>0.36498842592592595</v>
      </c>
      <c r="F21" s="23">
        <f t="shared" si="2"/>
        <v>2.2557870370370381E-2</v>
      </c>
      <c r="G21" s="49"/>
      <c r="H21" s="58">
        <v>6288</v>
      </c>
      <c r="I21" s="63" t="s">
        <v>58</v>
      </c>
    </row>
    <row r="22" spans="1:14" x14ac:dyDescent="0.3">
      <c r="A22" s="54" t="s">
        <v>71</v>
      </c>
      <c r="B22" s="19">
        <v>6.7511574074074071E-2</v>
      </c>
      <c r="C22" s="21">
        <v>9.778935185185185E-2</v>
      </c>
      <c r="D22" s="21">
        <v>0.25</v>
      </c>
      <c r="E22" s="21">
        <f t="shared" si="1"/>
        <v>0.34778935185185184</v>
      </c>
      <c r="F22" s="23">
        <f t="shared" si="2"/>
        <v>0.28027777777777774</v>
      </c>
      <c r="G22" s="49"/>
      <c r="H22" s="58">
        <v>7258</v>
      </c>
      <c r="I22" s="63" t="s">
        <v>58</v>
      </c>
    </row>
    <row r="23" spans="1:14" x14ac:dyDescent="0.3">
      <c r="A23" s="52" t="s">
        <v>88</v>
      </c>
      <c r="B23" s="19">
        <v>5.0659722222222224E-2</v>
      </c>
      <c r="C23" s="21"/>
      <c r="D23" s="21">
        <v>0.1</v>
      </c>
      <c r="E23" s="21">
        <f t="shared" si="1"/>
        <v>0.1</v>
      </c>
      <c r="F23" s="23">
        <f t="shared" si="2"/>
        <v>4.9340277777777782E-2</v>
      </c>
      <c r="G23" s="49"/>
      <c r="H23" s="57">
        <v>7762</v>
      </c>
      <c r="I23" s="63" t="s">
        <v>58</v>
      </c>
    </row>
    <row r="25" spans="1:14" x14ac:dyDescent="0.3">
      <c r="A25" s="15" t="s">
        <v>92</v>
      </c>
      <c r="G25" s="65"/>
    </row>
    <row r="26" spans="1:14" x14ac:dyDescent="0.3">
      <c r="A26" s="15" t="s">
        <v>89</v>
      </c>
      <c r="F26" s="66"/>
      <c r="G26" s="65"/>
      <c r="H26" s="66"/>
    </row>
    <row r="27" spans="1:14" x14ac:dyDescent="0.3">
      <c r="A27" s="15" t="s">
        <v>90</v>
      </c>
      <c r="F27" s="66"/>
      <c r="G27" s="65"/>
      <c r="H27" s="66"/>
    </row>
  </sheetData>
  <autoFilter ref="A1:I16" xr:uid="{1733C0DD-B4B4-45DB-8495-21276701CD3D}">
    <sortState xmlns:xlrd2="http://schemas.microsoft.com/office/spreadsheetml/2017/richdata2" ref="A2:I16">
      <sortCondition ref="A1:A16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2C6B-77AE-4262-B140-E1488A524255}">
  <dimension ref="A1:B16"/>
  <sheetViews>
    <sheetView workbookViewId="0">
      <selection activeCell="B5" sqref="B5"/>
    </sheetView>
  </sheetViews>
  <sheetFormatPr defaultRowHeight="14.4" x14ac:dyDescent="0.3"/>
  <cols>
    <col min="1" max="1" width="31.109375" bestFit="1" customWidth="1"/>
    <col min="2" max="2" width="13.44140625" style="47" customWidth="1"/>
  </cols>
  <sheetData>
    <row r="1" spans="1:2" x14ac:dyDescent="0.3">
      <c r="A1" s="14" t="s">
        <v>38</v>
      </c>
      <c r="B1" s="45" t="s">
        <v>0</v>
      </c>
    </row>
    <row r="2" spans="1:2" x14ac:dyDescent="0.3">
      <c r="A2" s="17" t="s">
        <v>46</v>
      </c>
      <c r="B2" s="46"/>
    </row>
    <row r="3" spans="1:2" x14ac:dyDescent="0.3">
      <c r="A3" s="17" t="s">
        <v>48</v>
      </c>
      <c r="B3" s="46"/>
    </row>
    <row r="4" spans="1:2" x14ac:dyDescent="0.3">
      <c r="A4" s="17" t="s">
        <v>45</v>
      </c>
      <c r="B4" s="46"/>
    </row>
    <row r="5" spans="1:2" x14ac:dyDescent="0.3">
      <c r="A5" s="17" t="s">
        <v>70</v>
      </c>
      <c r="B5" s="46">
        <v>46099</v>
      </c>
    </row>
    <row r="6" spans="1:2" x14ac:dyDescent="0.3">
      <c r="A6" s="17" t="s">
        <v>53</v>
      </c>
      <c r="B6" s="46"/>
    </row>
    <row r="7" spans="1:2" x14ac:dyDescent="0.3">
      <c r="A7" s="17" t="s">
        <v>43</v>
      </c>
      <c r="B7" s="46"/>
    </row>
    <row r="8" spans="1:2" x14ac:dyDescent="0.3">
      <c r="A8" s="17" t="s">
        <v>49</v>
      </c>
      <c r="B8" s="46"/>
    </row>
    <row r="9" spans="1:2" x14ac:dyDescent="0.3">
      <c r="A9" s="17" t="s">
        <v>54</v>
      </c>
      <c r="B9" s="46"/>
    </row>
    <row r="10" spans="1:2" x14ac:dyDescent="0.3">
      <c r="A10" s="17" t="s">
        <v>52</v>
      </c>
      <c r="B10" s="46"/>
    </row>
    <row r="11" spans="1:2" x14ac:dyDescent="0.3">
      <c r="A11" s="17" t="s">
        <v>44</v>
      </c>
      <c r="B11" s="46"/>
    </row>
    <row r="12" spans="1:2" x14ac:dyDescent="0.3">
      <c r="A12" s="34" t="s">
        <v>71</v>
      </c>
      <c r="B12" s="46"/>
    </row>
    <row r="13" spans="1:2" x14ac:dyDescent="0.3">
      <c r="A13" s="17" t="s">
        <v>32</v>
      </c>
      <c r="B13" s="46"/>
    </row>
    <row r="14" spans="1:2" x14ac:dyDescent="0.3">
      <c r="A14" s="17" t="s">
        <v>30</v>
      </c>
      <c r="B14" s="46"/>
    </row>
    <row r="15" spans="1:2" x14ac:dyDescent="0.3">
      <c r="A15" s="17" t="s">
        <v>50</v>
      </c>
      <c r="B15" s="46"/>
    </row>
    <row r="16" spans="1:2" x14ac:dyDescent="0.3">
      <c r="A16" s="17" t="s">
        <v>51</v>
      </c>
      <c r="B16" s="4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 HORAS</vt:lpstr>
      <vt:lpstr>BASE</vt:lpstr>
      <vt:lpstr>RESUMO</vt:lpstr>
      <vt:lpstr>DATA COMPENSA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Nascimento de Lima</dc:creator>
  <cp:lastModifiedBy>Luciana Nascimento de Lima</cp:lastModifiedBy>
  <dcterms:created xsi:type="dcterms:W3CDTF">2025-04-04T19:40:22Z</dcterms:created>
  <dcterms:modified xsi:type="dcterms:W3CDTF">2026-04-27T21:29:02Z</dcterms:modified>
</cp:coreProperties>
</file>